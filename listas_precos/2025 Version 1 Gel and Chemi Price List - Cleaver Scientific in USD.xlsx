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defaultThemeVersion="166925"/>
  <mc:AlternateContent xmlns:mc="http://schemas.openxmlformats.org/markup-compatibility/2006">
    <mc:Choice Requires="x15">
      <x15ac:absPath xmlns:x15ac="http://schemas.microsoft.com/office/spreadsheetml/2010/11/ac" url="https://thistlescientific.sharepoint.com/sites/CleaverScientific/Sales/Price Lists/2025 Pricing/Gel Docs/"/>
    </mc:Choice>
  </mc:AlternateContent>
  <xr:revisionPtr revIDLastSave="105" documentId="8_{9E04D1B2-84D5-453E-8CB9-764B4218B4E8}" xr6:coauthVersionLast="47" xr6:coauthVersionMax="47" xr10:uidLastSave="{5B388E57-D65B-4DBD-9111-C579E446A2E2}"/>
  <bookViews>
    <workbookView minimized="1" xWindow="3590" yWindow="1580" windowWidth="14400" windowHeight="7270" tabRatio="891" firstSheet="4" activeTab="4" xr2:uid="{9244326F-D880-4720-9B20-B887BD3DF9CC}"/>
  </bookViews>
  <sheets>
    <sheet name="gelONE-XE" sheetId="3" r:id="rId1"/>
    <sheet name="gelLITE" sheetId="1" r:id="rId2"/>
    <sheet name="gelPRO" sheetId="4" r:id="rId3"/>
    <sheet name="chemLITE" sheetId="5" r:id="rId4"/>
    <sheet name="chemiPRO" sheetId="6" r:id="rId5"/>
    <sheet name="chemiPRO XL" sheetId="7" r:id="rId6"/>
    <sheet name="chemiPRO XS" sheetId="8" r:id="rId7"/>
    <sheet name="Additional Filters" sheetId="10" r:id="rId8"/>
    <sheet name="Workflow Packages" sheetId="11" r:id="rId9"/>
    <sheet name="Raw Data for ERP Import" sheetId="2" r:id="rId10"/>
  </sheets>
  <definedNames>
    <definedName name="_xlnm._FilterDatabase" localSheetId="4" hidden="1">chemiPRO!$A$15:$E$15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6" i="7" l="1"/>
  <c r="B30" i="6"/>
  <c r="B33" i="3"/>
  <c r="B9" i="3"/>
  <c r="B8" i="3"/>
  <c r="B7" i="3"/>
  <c r="B43" i="7"/>
  <c r="B28" i="6"/>
  <c r="B33" i="7"/>
  <c r="B34" i="7"/>
  <c r="B37" i="7"/>
  <c r="B38" i="7"/>
  <c r="B39" i="7"/>
  <c r="B25" i="7"/>
  <c r="B20" i="8"/>
  <c r="B27" i="8"/>
  <c r="B9" i="6"/>
  <c r="B8" i="7"/>
  <c r="B10" i="8"/>
  <c r="B12" i="8"/>
  <c r="B35" i="4"/>
  <c r="B17" i="7"/>
  <c r="B8" i="10"/>
  <c r="B13" i="10"/>
  <c r="B33" i="8"/>
  <c r="B7" i="10"/>
  <c r="B5" i="10"/>
  <c r="B25" i="1"/>
  <c r="B14" i="10"/>
  <c r="B58" i="6"/>
  <c r="B42" i="1"/>
  <c r="B20" i="4"/>
  <c r="B8" i="1"/>
  <c r="B10" i="1"/>
  <c r="B11" i="1"/>
  <c r="B14" i="1"/>
  <c r="B11" i="3"/>
  <c r="B16" i="3"/>
  <c r="B7" i="4"/>
  <c r="B16" i="6"/>
  <c r="C3" i="11"/>
  <c r="C6" i="11"/>
  <c r="C10" i="11"/>
  <c r="C4" i="11"/>
  <c r="C12" i="11"/>
  <c r="C8" i="11"/>
  <c r="C16" i="11"/>
  <c r="B11" i="4"/>
  <c r="B15" i="3"/>
  <c r="B12" i="3"/>
  <c r="B19" i="1"/>
  <c r="B21" i="1"/>
  <c r="C15" i="11"/>
  <c r="B18" i="1"/>
  <c r="B38" i="8"/>
  <c r="B54" i="8"/>
  <c r="B2" i="10"/>
  <c r="B30" i="8"/>
  <c r="B34" i="8"/>
  <c r="B31" i="8"/>
  <c r="B44" i="7"/>
  <c r="B12" i="10"/>
  <c r="B9" i="10"/>
  <c r="B32" i="4"/>
  <c r="B34" i="4"/>
  <c r="B36" i="8"/>
  <c r="B14" i="8"/>
  <c r="B8" i="8"/>
  <c r="B9" i="7"/>
  <c r="B12" i="6"/>
  <c r="B7" i="6"/>
  <c r="B19" i="8"/>
  <c r="B31" i="6"/>
  <c r="B24" i="3"/>
  <c r="B7" i="5"/>
  <c r="B24" i="7"/>
  <c r="B37" i="6"/>
  <c r="B21" i="8"/>
  <c r="B26" i="8"/>
  <c r="B11" i="6"/>
  <c r="B8" i="6"/>
  <c r="B10" i="6"/>
  <c r="B7" i="7"/>
  <c r="B10" i="7"/>
  <c r="B7" i="8"/>
  <c r="B9" i="8"/>
  <c r="B11" i="8"/>
  <c r="B13" i="8"/>
  <c r="B44" i="8"/>
  <c r="B54" i="6"/>
  <c r="B36" i="3"/>
  <c r="B21" i="7"/>
  <c r="B52" i="6"/>
  <c r="B53" i="6"/>
  <c r="B21" i="4"/>
  <c r="B10" i="10"/>
  <c r="B11" i="10"/>
  <c r="B32" i="8"/>
  <c r="B6" i="10"/>
  <c r="B45" i="7"/>
  <c r="B46" i="7"/>
  <c r="B15" i="10"/>
  <c r="B3" i="10"/>
  <c r="B18" i="10"/>
  <c r="B39" i="8"/>
  <c r="B22" i="4"/>
  <c r="B16" i="10"/>
  <c r="B4" i="10"/>
  <c r="B38" i="4"/>
  <c r="B41" i="6"/>
  <c r="B42" i="6"/>
  <c r="B62" i="6"/>
  <c r="B17" i="6"/>
  <c r="B19" i="4"/>
  <c r="B41" i="8"/>
  <c r="B13" i="1"/>
  <c r="B38" i="1"/>
  <c r="B20" i="1"/>
  <c r="B15" i="1"/>
  <c r="B16" i="1"/>
  <c r="B9" i="1"/>
  <c r="B13" i="3"/>
  <c r="B34" i="3"/>
  <c r="B27" i="3"/>
  <c r="C14" i="11"/>
  <c r="B17" i="3"/>
  <c r="B10" i="4"/>
  <c r="B8" i="4"/>
  <c r="B9" i="4"/>
  <c r="B45" i="8"/>
  <c r="B51" i="7"/>
  <c r="C13" i="11"/>
  <c r="C7" i="11"/>
  <c r="C11" i="11"/>
  <c r="C5" i="11"/>
  <c r="B23" i="3"/>
  <c r="C9" i="11"/>
  <c r="B26" i="1" l="1"/>
  <c r="B25" i="3"/>
  <c r="B18" i="4"/>
  <c r="B23" i="6"/>
  <c r="B59" i="6"/>
  <c r="B47" i="7"/>
  <c r="B17" i="10"/>
  <c r="B30" i="1"/>
  <c r="B62" i="7"/>
  <c r="B40" i="8"/>
  <c r="B39" i="1"/>
  <c r="B38" i="3"/>
  <c r="B31" i="4"/>
  <c r="B38" i="6"/>
  <c r="B14" i="7"/>
  <c r="B55" i="8"/>
  <c r="B39" i="4"/>
  <c r="B19" i="6"/>
  <c r="B45" i="6"/>
  <c r="B21" i="3"/>
  <c r="B18" i="7"/>
  <c r="B27" i="7"/>
  <c r="B51" i="8"/>
  <c r="B27" i="1"/>
  <c r="B40" i="1"/>
  <c r="B44" i="1"/>
  <c r="B22" i="3"/>
  <c r="B35" i="3"/>
  <c r="B39" i="3"/>
  <c r="B15" i="4"/>
  <c r="B23" i="4"/>
  <c r="B36" i="4"/>
  <c r="B40" i="4"/>
  <c r="B17" i="5"/>
  <c r="B20" i="6"/>
  <c r="B24" i="6"/>
  <c r="B29" i="6"/>
  <c r="B56" i="6"/>
  <c r="B60" i="6"/>
  <c r="B15" i="7"/>
  <c r="B19" i="7"/>
  <c r="B23" i="7"/>
  <c r="B48" i="7"/>
  <c r="B59" i="7"/>
  <c r="B18" i="8"/>
  <c r="B37" i="8"/>
  <c r="B52" i="8"/>
  <c r="B22" i="7"/>
  <c r="B28" i="1"/>
  <c r="B32" i="1"/>
  <c r="B41" i="1"/>
  <c r="B40" i="3"/>
  <c r="B16" i="4"/>
  <c r="B33" i="4"/>
  <c r="B37" i="4"/>
  <c r="B41" i="4"/>
  <c r="B18" i="5"/>
  <c r="B21" i="6"/>
  <c r="B25" i="6"/>
  <c r="B57" i="6"/>
  <c r="B61" i="6"/>
  <c r="B16" i="7"/>
  <c r="B20" i="7"/>
  <c r="B40" i="7"/>
  <c r="B60" i="7"/>
  <c r="B53" i="8"/>
  <c r="B43" i="1"/>
  <c r="B55" i="6"/>
  <c r="B58" i="7"/>
  <c r="B29" i="1"/>
  <c r="B28" i="3"/>
  <c r="B37" i="3"/>
  <c r="B41" i="3"/>
  <c r="B17" i="4"/>
  <c r="B25" i="4"/>
  <c r="B18" i="6"/>
  <c r="B22" i="6"/>
  <c r="B26" i="6"/>
  <c r="B41" i="7"/>
  <c r="B61" i="7"/>
</calcChain>
</file>

<file path=xl/sharedStrings.xml><?xml version="1.0" encoding="utf-8"?>
<sst xmlns="http://schemas.openxmlformats.org/spreadsheetml/2006/main" count="998" uniqueCount="349">
  <si>
    <t>Price List 2025</t>
  </si>
  <si>
    <t>gelONE Gel Documentation System with in built touch screen</t>
  </si>
  <si>
    <t xml:space="preserve">The gelONE-XE is the ultimate in simplicity, with automated acquisition through an intuitive touch screen interface.Compatible with both traditional DNA stains and safe stains, the gelONE is suitable for any lab. The 20 x 24 cm imaging area means even large gels can be imaged with ease.
Images are captured using the built in software, and saved direct to USB memory stocks for transfer to PC. The geneQUANT advanced image analysis package is included with all systems license free. </t>
  </si>
  <si>
    <t>Complete Systems</t>
  </si>
  <si>
    <t>All systems include geneQUANT analysis software license free</t>
  </si>
  <si>
    <t>Code</t>
  </si>
  <si>
    <t>2025 Price</t>
  </si>
  <si>
    <t>Description</t>
  </si>
  <si>
    <t>GELONE-XE</t>
  </si>
  <si>
    <t>gelONE-XE with large UVT, 230V,  50Hz, Europe</t>
  </si>
  <si>
    <t>GELONE-XE-E60</t>
  </si>
  <si>
    <t>gelONE-XE with large UVT, 230V,  60Hz, Europe</t>
  </si>
  <si>
    <t>GELONE-XE-A</t>
  </si>
  <si>
    <t>gelONE-XE with large UVT, 115V,  60Hz, USA</t>
  </si>
  <si>
    <t>GELONE-E</t>
  </si>
  <si>
    <t>gelONE with large UVT, 230V,  50Hz, Europe</t>
  </si>
  <si>
    <t>GELONE-E60</t>
  </si>
  <si>
    <t>gelONE with large UVT, 230V,  60Hz, Europe</t>
  </si>
  <si>
    <t>GELONE-A</t>
  </si>
  <si>
    <t>gelONE with large UVT, 115V,  60Hz, USA</t>
  </si>
  <si>
    <t>GELONE-PLUS</t>
  </si>
  <si>
    <t>gelONE+ with large UVT, 230V,  50Hz, Europe</t>
  </si>
  <si>
    <t>GELONE-PLUS-E60</t>
  </si>
  <si>
    <t>gelONE+ with large UVT, 230V,  60Hz, Europe</t>
  </si>
  <si>
    <t>GELONE-PLUS-A</t>
  </si>
  <si>
    <t>gelONE+ with large UVT, 115V,  60Hz, USA</t>
  </si>
  <si>
    <t>Options</t>
  </si>
  <si>
    <t>CS-FSP58</t>
  </si>
  <si>
    <t>Short pass [515 -599nm]  (SW032)</t>
  </si>
  <si>
    <t>CS-FSG-58</t>
  </si>
  <si>
    <t>Safe stain filter to work with blue light converter (gelLITE/gelONE)</t>
  </si>
  <si>
    <t>WLC-3023</t>
  </si>
  <si>
    <t>Visible light converter</t>
  </si>
  <si>
    <t>BLC-2126</t>
  </si>
  <si>
    <t>UV to Blue Light converter, Size 21x26cm, suitable for safe dyes</t>
  </si>
  <si>
    <t>CS-XS-NFS</t>
  </si>
  <si>
    <t xml:space="preserve">Neutral field screens for UV neutral fielding (1 blue, 1 frosted). </t>
  </si>
  <si>
    <t>CSL-PRINTUSB</t>
  </si>
  <si>
    <t>Mitsubishi Digital Thermal Printer</t>
  </si>
  <si>
    <t>Discontinued</t>
  </si>
  <si>
    <t>GELONE-NETUSB</t>
  </si>
  <si>
    <t xml:space="preserve">Network dongle </t>
  </si>
  <si>
    <t>UVSHIELD2020</t>
  </si>
  <si>
    <t>UV Blocking Shield for gelLITE and gelONE</t>
  </si>
  <si>
    <t>CSL-PRINTER</t>
  </si>
  <si>
    <t>Sony Digital Thermal Printer</t>
  </si>
  <si>
    <t>Spares</t>
  </si>
  <si>
    <t>GELONEXE-BASE</t>
  </si>
  <si>
    <t xml:space="preserve">gelONE-XE BASE ONLY 230V,  50Hz, Europe - Other Voltages are available </t>
  </si>
  <si>
    <t>GELONE-BASE</t>
  </si>
  <si>
    <t>gelONE Base unit without UVT</t>
  </si>
  <si>
    <t>CS-2020M-E</t>
  </si>
  <si>
    <t>Transilluminator (20 x 20cm; 302nm) 230V, 50Hz with runners</t>
  </si>
  <si>
    <t xml:space="preserve">Other Voltages are available </t>
  </si>
  <si>
    <t>CS-2024M-E</t>
  </si>
  <si>
    <t>Transilluminator (20 x 24cm; 302nm) 230V, 50Hz with runners</t>
  </si>
  <si>
    <t>CS-MATTP</t>
  </si>
  <si>
    <t>Thermal paper, Matt, 1 roll</t>
  </si>
  <si>
    <t>CS-GLOSSP</t>
  </si>
  <si>
    <t>Thermal paper, Glossy, 1 roll</t>
  </si>
  <si>
    <t>CS-T8-254</t>
  </si>
  <si>
    <t>Short wave tube, 8W, 254nm</t>
  </si>
  <si>
    <t>CS-T8-302</t>
  </si>
  <si>
    <t>Medium wave, 8W, 302nm</t>
  </si>
  <si>
    <t>CS-T8-365</t>
  </si>
  <si>
    <t>Longwave 8W, 365nm</t>
  </si>
  <si>
    <t>CS-UPP-100HD</t>
  </si>
  <si>
    <t>Matt Paper roll for use with Sony printer Pk1</t>
  </si>
  <si>
    <t>CS-UPP-110HG</t>
  </si>
  <si>
    <t>Gloss Paper roll for use with Sont printer Pk1</t>
  </si>
  <si>
    <t>gelLITE Entry Level gel Documentation System</t>
  </si>
  <si>
    <t>The gelLITE completes our range of gel and chemiluminescence documentation systems with an economical and effective solution for agarose gel imaging. The manually controlled camera zoom and focus gives users complete control of their imaging, and intuitive genePIX acquisition software enable a fast and efficient workflow.</t>
  </si>
  <si>
    <t>Include Darkroom, Camera, UV Transilluminator and specificed converter screens. All systems include UV emission filter. Systems including blue light converters (BLC) also include relevant emission filters. All systems include aquistion and analsys software license free.</t>
  </si>
  <si>
    <t>gelLITE</t>
  </si>
  <si>
    <t>gelLITE System with UVT, 230V/50Hz, Europe</t>
  </si>
  <si>
    <t>gelLITESAFE</t>
  </si>
  <si>
    <t>gelLITE System with UVT, BLC, 230V/50Hz, Europe</t>
  </si>
  <si>
    <t>gelLITEPRO</t>
  </si>
  <si>
    <t>gelLITE System with UVT, WLC, 230V/50Hz, Europe</t>
  </si>
  <si>
    <t>gelLITEPROSAFE</t>
  </si>
  <si>
    <t>gelLITE System with UVT, WLC, BLC, 230V/50Hz, Europe</t>
  </si>
  <si>
    <t>gelLITE-E60</t>
  </si>
  <si>
    <t>gelLITE System with UVT, 230V/60Hz, Europe</t>
  </si>
  <si>
    <t>gelLITESAFE-E60</t>
  </si>
  <si>
    <t>gelLITE System with UVT, BLC, 230V/60Hz, Europe</t>
  </si>
  <si>
    <t>gelLITEPRO-E60</t>
  </si>
  <si>
    <t>gelLITE System with UVT, WLC, 230V/60Hz, Europe</t>
  </si>
  <si>
    <t>gelLITEPROSAFE-E60</t>
  </si>
  <si>
    <t>gelLITE System with UVT, WLC, BLC, 230V/60Hz, Europe</t>
  </si>
  <si>
    <t>gelLITE-A</t>
  </si>
  <si>
    <t>gelLITE System with UVT, 115V/60Hz, USA</t>
  </si>
  <si>
    <t>gelLITESAFE-A</t>
  </si>
  <si>
    <t>gelLITE System with UVT, BLC, 115V/60Hz, USA</t>
  </si>
  <si>
    <t>gelLITEPRO-A</t>
  </si>
  <si>
    <t>gelLITE System with UVT, WLC, 115V/60Hz, USA</t>
  </si>
  <si>
    <t>gelLITEPROSAFE-A</t>
  </si>
  <si>
    <t>gelLITE System with UVT, WLC, BLC, 115V/60Hz, USA</t>
  </si>
  <si>
    <t>Short pass filter (SW032)</t>
  </si>
  <si>
    <t>CS-ULTRA-SLIM-LED</t>
  </si>
  <si>
    <t>Blue slimline LED transilluminator, 10x12cm + sliding tray</t>
  </si>
  <si>
    <t>discontinued</t>
  </si>
  <si>
    <t>LAPTOP</t>
  </si>
  <si>
    <t>Laptop for genePIX - Contact Thsitle for latest specification</t>
  </si>
  <si>
    <t>GELLITE-IG3</t>
  </si>
  <si>
    <t>gelLITE, 3MP 12/16bit system, With epi LED white lights, filter drawer &amp; UV filter.</t>
  </si>
  <si>
    <t>gelPRO Gel Documentation System</t>
  </si>
  <si>
    <t>gelPRO has a high resolution 5m pixel camera which is capable of giving outstanding images with incredible spatial resolution. The gelPRO gel documentation system has a stylish modular design and includes a motor driven zoom lens as standard, as well as a motor driven filter wheel. Internal lighting comes from a UV transilluminator or a blue light LED module to further extend the applications possible with the gelPRO. This system can be upgraded to a chemiluminescence imager.</t>
  </si>
  <si>
    <t>Include Darkroom, Camera, UV Transilluminator. All systems include UV emission filter. All systems include aquistion and analsys software license free.</t>
  </si>
  <si>
    <t>gelPRO-302E</t>
  </si>
  <si>
    <t>gelPRO with Large 302nm 230V 50Hz (Europe) UVT</t>
  </si>
  <si>
    <t>gelPRO-302SK</t>
  </si>
  <si>
    <t>gelPRO with Large 302nm 220V 60Hz (S.Korea, S Arabia) UVT</t>
  </si>
  <si>
    <t>gelPRO-302USA</t>
  </si>
  <si>
    <t>gelPRO with Large 302nm 115V 60Hz (USA) UVT</t>
  </si>
  <si>
    <t>gelPRO-302C</t>
  </si>
  <si>
    <t>gelPRO with Large 302nm 115V 60Hz (Canada) UVT</t>
  </si>
  <si>
    <t>gelPRO-302J</t>
  </si>
  <si>
    <t>gelPRO with Large 302nm 100V 50/60Hz (Japan) UVT</t>
  </si>
  <si>
    <t>GX-VP</t>
  </si>
  <si>
    <t>Viewing platform</t>
  </si>
  <si>
    <t>CS-ULTRA-BRIGHT-LED</t>
  </si>
  <si>
    <t>Blue LED Transilluminator, Viewing area 20x16cm + sliding tray</t>
  </si>
  <si>
    <t>CS-BLC</t>
  </si>
  <si>
    <t>UV to Blue light converter, Size 25x30cm suitable for DNA safe dyes</t>
  </si>
  <si>
    <t>CS-FSG-72</t>
  </si>
  <si>
    <t>Safe stain filter to work with blue light converter (gelPRO/chemiPRO)</t>
  </si>
  <si>
    <t>CS-WLPAD</t>
  </si>
  <si>
    <t>20 x 14 cm Fold down white light pad with brackets</t>
  </si>
  <si>
    <t>CS-WLC</t>
  </si>
  <si>
    <t>Viisible light converter, Size 30.5x33cm</t>
  </si>
  <si>
    <t>CS-EPIUV</t>
  </si>
  <si>
    <t>2 x UV module – with 302nm tubes</t>
  </si>
  <si>
    <t>CS-FSP72</t>
  </si>
  <si>
    <t>CS-NFS</t>
  </si>
  <si>
    <t>UVSHIELD2530</t>
  </si>
  <si>
    <t>UV Blocking Shield for gelPRO and chemiPRO</t>
  </si>
  <si>
    <t>CS-DARKROOM</t>
  </si>
  <si>
    <t>chemiPRO/gelPRO Base System</t>
  </si>
  <si>
    <t>CS-CAM-GELPRO</t>
  </si>
  <si>
    <t>gelPRO Camera/Lens</t>
  </si>
  <si>
    <t>Transilluminator (20x20cm; 302nm) 230V, 50Hz + runners</t>
  </si>
  <si>
    <t>CS-2530M-E</t>
  </si>
  <si>
    <t>Transilluminator (25x30cm; 302nm) 230V, 50Hz + runners</t>
  </si>
  <si>
    <t>CS-2020LM-E</t>
  </si>
  <si>
    <t>Transilluminator (20x20cm; 302/365nm) 230V, 50Hz + runners</t>
  </si>
  <si>
    <t>CS-2530LM-E</t>
  </si>
  <si>
    <t>Transilluminator (25x30cm; 302/365nm) 230V, 50Hz + runners</t>
  </si>
  <si>
    <t>Shortwave tube, 8W, 254nm</t>
  </si>
  <si>
    <t>Mediumwave, 8W, 302nm</t>
  </si>
  <si>
    <t>chemiLITE Chemiluminescence Imaging System</t>
  </si>
  <si>
    <t>The chemiLITE is our entry level chemiluminescence documentation system. Designed for imaging any chemiluminescence substrate and as a direct replacement for X-ray film, it is capable of picogram or femtogram protein level detection. The compactness of this system makes it perfect for labs looking to set up chemiluminescnce imaging, without the need to accomodate a large, multifuction system.</t>
  </si>
  <si>
    <t>Complete System</t>
  </si>
  <si>
    <t>Includes Imaging system and Aqusition and Analysis softare license free</t>
  </si>
  <si>
    <t>ChemiLITE</t>
  </si>
  <si>
    <t>Dedicated High Performance, compact Chemi System</t>
  </si>
  <si>
    <t>chemiPRO Chemiluminescence Imaging System</t>
  </si>
  <si>
    <t xml:space="preserve">The chemiPRO is our complete solution for chemiluminescence and fluorescent western blot imaging.Featuring a highly sensitive cooled CCD Camera with high quantam efficiency, for detection of picogram level proteins, this system can image both conventional ECL style chemiluminscence blots and fluorescently tagged proteins of antibodies with the optional fluorescence module. </t>
  </si>
  <si>
    <t>Include Darkroom, Camera and Transilluminator where indicated (UVT). All systems include UV emission filter. All systems include aquistion and analsys software license free.</t>
  </si>
  <si>
    <t>ChemiPRO</t>
  </si>
  <si>
    <t>ChemiPRO complete system (Chemi Only, No UVT)</t>
  </si>
  <si>
    <t>ChemiPRO-302E</t>
  </si>
  <si>
    <t>ChemiPRO with 302nm 230V 50Hz (Europe) UVT</t>
  </si>
  <si>
    <t>chemiPRO-302SK</t>
  </si>
  <si>
    <t>chemiPRO with 302nm 220V 60Hz (S.Korea, S Arabia) UVT</t>
  </si>
  <si>
    <t>chemiPRO-302USA</t>
  </si>
  <si>
    <t>chemiPRO with 302nm 115V 60Hz (USA) UVT</t>
  </si>
  <si>
    <t>chemiPRO-302C</t>
  </si>
  <si>
    <t>chemiPRO with 302nm 115V 60Hz (Canada) UVT</t>
  </si>
  <si>
    <t>chemiPRO-302J</t>
  </si>
  <si>
    <t>chemiPRO with 302nm 100V 50/60Hz (Japan) UVT</t>
  </si>
  <si>
    <t>CS-FSP</t>
  </si>
  <si>
    <t>Short pass [516 - 600nm] (SW06)</t>
  </si>
  <si>
    <t>CS-FIR</t>
  </si>
  <si>
    <t>Filter for Licor multiplexing 800nm</t>
  </si>
  <si>
    <t>CS-FBL</t>
  </si>
  <si>
    <t xml:space="preserve">525nm Filter (range 516-539m)  </t>
  </si>
  <si>
    <t>CS-FGL</t>
  </si>
  <si>
    <t>605nm Filter for Multiplexing (range 594-610nm)</t>
  </si>
  <si>
    <t>CS-FRL</t>
  </si>
  <si>
    <t>705nm Filter for Multiplexing (range 700-720nm)</t>
  </si>
  <si>
    <t>CS-FFR</t>
  </si>
  <si>
    <t>700nm Filter for Far Red multiplexing (range 698-764nm)</t>
  </si>
  <si>
    <t>CHEMIMOD-RGB</t>
  </si>
  <si>
    <t>chemiPRO RGB Lighting Module</t>
  </si>
  <si>
    <t>CHEMIMOD-RGBIR</t>
  </si>
  <si>
    <t>chemiPRO RGB &amp; IR Lighitng Module</t>
  </si>
  <si>
    <t>CHEMIMOD-RGBIRFR</t>
  </si>
  <si>
    <t>LED Lighting option covering Red, Green, Blue, InfraRed and Far-Red</t>
  </si>
  <si>
    <t>CHEMIMOD-RIR</t>
  </si>
  <si>
    <t>chemiPRO Red and IR Module</t>
  </si>
  <si>
    <t>CHEMIMOD-GBIRFR</t>
  </si>
  <si>
    <t>chemiPRO Green, Blue, Infrared and Far Red Lighting Module</t>
  </si>
  <si>
    <t>CHEMIMOD-GBFR</t>
  </si>
  <si>
    <t>chemiPRO Green, Blue  and Far Red Lighting Module</t>
  </si>
  <si>
    <t>CHEMIMOD-IRFR</t>
  </si>
  <si>
    <t>chemiPRO Infrared and Far Red Lighting Module</t>
  </si>
  <si>
    <t>CHEMIMOD-RGBUV</t>
  </si>
  <si>
    <t>chemiPRO Red , Green, blue and UV Lighting Module</t>
  </si>
  <si>
    <t>CHEMIMOD-BRIRFR</t>
  </si>
  <si>
    <t>chemiPRO Blue, Red, Far Red and IR Lighting Module</t>
  </si>
  <si>
    <t>CHEMIMOD-UP-GB</t>
  </si>
  <si>
    <t>LED Lighting upgrade RIR to RGBIR</t>
  </si>
  <si>
    <t>CHEMIMOD-UP-IR</t>
  </si>
  <si>
    <t>LED Lighting upgrade RGB to RGBIR</t>
  </si>
  <si>
    <t>CHEMIMOD-UP-FR</t>
  </si>
  <si>
    <t>LED Lighting upgrade Far Red</t>
  </si>
  <si>
    <t>CHEMIMOD-UP-UV</t>
  </si>
  <si>
    <t>LED Lighting upgrade RGB or RIR to RGBUV/RIRUV</t>
  </si>
  <si>
    <t>CS-NFS-SET</t>
  </si>
  <si>
    <t xml:space="preserve">Neutral field screen &amp; neutral density filter. </t>
  </si>
  <si>
    <t>CS-PC-MOUNT</t>
  </si>
  <si>
    <t>Mount to attach monitor or touch pc to CHEMIPROor XL</t>
  </si>
  <si>
    <t xml:space="preserve">PC-TOUCH </t>
  </si>
  <si>
    <t>Touch panel PC Contact Thistle for latest specification</t>
  </si>
  <si>
    <t xml:space="preserve">Laptop for genePIX - Contact Thsitle for latest specification </t>
  </si>
  <si>
    <t>CS-CAM-CHEMIPRO</t>
  </si>
  <si>
    <t>chemiPRO Camera &amp; Lens</t>
  </si>
  <si>
    <t>chemiPRO XL Chemiluminescence Imaging System</t>
  </si>
  <si>
    <t>The chemiPRO is our complete solution for chemiluminescence and fluorescent western blot imaging. Featuring a highly sensitive cooled CCD Camera with high quantam efficiency, for detection of picogram level proteins, this system can image both conventional ECL style chemiluminscence blots and fluorescently tagged proteins of antibodies with the optional fluorescence module. chemiPRO XL features enhanced sensitivity and resolution cameras of 6 or 9 megapixels as well as a motorised stage for zoom.</t>
  </si>
  <si>
    <t>Include Darkroom and camera as standard.  All systems include aquistion and analsys software license free.</t>
  </si>
  <si>
    <t>CHEMIPRO-XL6-E</t>
  </si>
  <si>
    <t>chemiPRO XL6 Imaging System without UVT, 230V, 50Hz</t>
  </si>
  <si>
    <t>CHEMIPRO-XL6-E60</t>
  </si>
  <si>
    <t>chemiPRO XL6 Imaging System without UVT, 230V, 60Hz</t>
  </si>
  <si>
    <t>CHEMIPRO-XL9-E</t>
  </si>
  <si>
    <t>chemiPRO XL9 Imaging System without UVT, 230V, 50Hz</t>
  </si>
  <si>
    <t>CHEMIPRO-XL9-E60</t>
  </si>
  <si>
    <t>chemiPRO XL9 Imaging System without UVT, 230V, 60Hz</t>
  </si>
  <si>
    <t>HILED Lighting option covering Red, Green and Blue</t>
  </si>
  <si>
    <t>HILED Lighting option covering Red, Green, Blue and InfraRed</t>
  </si>
  <si>
    <t>HILED Lighting option covering Red and InfraRed</t>
  </si>
  <si>
    <t>HILED Lighting upgrade RIR to RGBIR</t>
  </si>
  <si>
    <t>HILED Lighting upgrade RGB to RGBIR</t>
  </si>
  <si>
    <t>CS-CYLIGHT</t>
  </si>
  <si>
    <t xml:space="preserve">Dyversity CY dye edge lighting module (28x21cm). </t>
  </si>
  <si>
    <t>CS-FILT-CY2</t>
  </si>
  <si>
    <t>CY2 filter [498-541nm] emission filter</t>
  </si>
  <si>
    <t>CS-FILT-CY3</t>
  </si>
  <si>
    <t>CY3 filter [570-616nm] emission filter</t>
  </si>
  <si>
    <t>CS-FILT-CY5</t>
  </si>
  <si>
    <t>CY5 filter [671-716nm] emission filter</t>
  </si>
  <si>
    <t xml:space="preserve">Discontinued </t>
  </si>
  <si>
    <t>chemiPRO XS Chemiluminescence Imaging System</t>
  </si>
  <si>
    <t>The chemiPRO is our complete solution for chemiluminescence and fluorescent western blot imaging. Featuring a highly sensitive cooled CCD Camera with high quantam efficiency, for detection of picogram level proteins, this system can image both conventional ECL style chemiluminscence blots and fluorescently tagged proteins of antibodies with the optional fluorescence module. chemiPRO XS features enhanced sensitivity and resolution cameras of 6 or 9 megapixels as well as a reduced footprint for space saving.</t>
  </si>
  <si>
    <t>CHEMIPRO-XS6-E</t>
  </si>
  <si>
    <t>chemiPRO XS6 Imaging System without UVT, 230V, 50Hz</t>
  </si>
  <si>
    <t>CHEMIPRO-XS6-E60</t>
  </si>
  <si>
    <t>chemiPRO XS6 Imaging System without UVT, 230V, 60Hz</t>
  </si>
  <si>
    <t>CHEMIPRO-XS6-US</t>
  </si>
  <si>
    <t>chemiPRO XS6 Imaging System without UVT, 115V, 60Hz</t>
  </si>
  <si>
    <t>CHEMIPRO-XS6-JA</t>
  </si>
  <si>
    <t xml:space="preserve">chemiPRO XS6 Imaging System without UVT, 100V,  50/60Hz </t>
  </si>
  <si>
    <t>CHEMIPRO-XS9-E</t>
  </si>
  <si>
    <t>chemiPRO XS9 Imaging System without UVT, 230V, 50Hz</t>
  </si>
  <si>
    <t>CHEMIPRO-XS9-E60</t>
  </si>
  <si>
    <t>chemiPRO XS9 Imaging System without UVT, 230V, 60Hz</t>
  </si>
  <si>
    <t>CHEMIPRO-XS9-US</t>
  </si>
  <si>
    <t>chemiPRO XS9 Imaging System without UVT, 115V, 60Hz</t>
  </si>
  <si>
    <t>CHEMIPRO-XS9-JA</t>
  </si>
  <si>
    <t xml:space="preserve">chemiPRO XS9 Imaging System without UVT, 100V,  50/60Hz </t>
  </si>
  <si>
    <t>CHEMIMOD-XS-RGB</t>
  </si>
  <si>
    <t>LED Lighting option covering Red, Green and Blue</t>
  </si>
  <si>
    <t>CHEMIMOD-XS-RGBIR</t>
  </si>
  <si>
    <t>LED Lighting option covering Red, Green, Blue and InfraRed</t>
  </si>
  <si>
    <t>CHEMIMOD-XS-RIR</t>
  </si>
  <si>
    <t>LED Lighting option covering Red and InfraRed</t>
  </si>
  <si>
    <t>CHEMIMOD-XS-RGBUV</t>
  </si>
  <si>
    <t>LED Lighting option covering Red, Green, Blue and UV</t>
  </si>
  <si>
    <t>CHEMIMOD-XS-GBIRFR</t>
  </si>
  <si>
    <t>LED Lighting option covering Green, Blue, Infrared and Far Red</t>
  </si>
  <si>
    <t>CHEMIMOD-XS-GBFR</t>
  </si>
  <si>
    <t>LED Lighting option covering Green, Blue and Far Red</t>
  </si>
  <si>
    <t>CHEMIMOD-XS-IRFR</t>
  </si>
  <si>
    <t>LED Lighting option covering Infrared and Far Red</t>
  </si>
  <si>
    <t>CHEMIMOD-XS-UP-GB</t>
  </si>
  <si>
    <t>CHEMIMOD-XS-UP-IR</t>
  </si>
  <si>
    <t>CHEMIMOD-XS-UV</t>
  </si>
  <si>
    <t>CHEMIMOD-XS-FR</t>
  </si>
  <si>
    <t>CHEMIXS-VP</t>
  </si>
  <si>
    <t>Viewing platform for blots</t>
  </si>
  <si>
    <t>CHEMI-XS-MOUNT</t>
  </si>
  <si>
    <t>Mount to attach monitor or touch pc</t>
  </si>
  <si>
    <t>CS-FUV-GX</t>
  </si>
  <si>
    <t>UV Filter (UV032)</t>
  </si>
  <si>
    <t>For gelPRO, Included</t>
  </si>
  <si>
    <t>CS-FLP-GX</t>
  </si>
  <si>
    <t>Long Pass [615-644nm]  (LW032)</t>
  </si>
  <si>
    <t>For gelPRO</t>
  </si>
  <si>
    <t>CS-FUV-GX-CHEMI</t>
  </si>
  <si>
    <t>UV Filter (UV06)</t>
  </si>
  <si>
    <t>For chemiPRO Chemi systems, included</t>
  </si>
  <si>
    <t>CS-FLP-GX-CHEMI</t>
  </si>
  <si>
    <t>Long Pass [611 - 641nm] (LW06)</t>
  </si>
  <si>
    <t>For chemiPRO Chemi systems</t>
  </si>
  <si>
    <t>CS-FFRLP-GX</t>
  </si>
  <si>
    <t>FRLP Filter  670-780nm</t>
  </si>
  <si>
    <t>CS-FIR-GX</t>
  </si>
  <si>
    <t xml:space="preserve">IR Filter. </t>
  </si>
  <si>
    <t>CS-F565-GX</t>
  </si>
  <si>
    <t>565nm Filter (range 556-579nm)</t>
  </si>
  <si>
    <t>CS-F585-GX</t>
  </si>
  <si>
    <t>585nm Filter (range 580-590nm)</t>
  </si>
  <si>
    <t>CS-F605-GX</t>
  </si>
  <si>
    <t>605nm Filter (range 590-607nm)</t>
  </si>
  <si>
    <t>CS-F625-GX</t>
  </si>
  <si>
    <t>625nm Filter (range 600-640nm)</t>
  </si>
  <si>
    <t>CS-F655-GX</t>
  </si>
  <si>
    <t>655nm Filter  (range 633-675nm)</t>
  </si>
  <si>
    <t>CS-F705-GX</t>
  </si>
  <si>
    <t>705nm Filter (range 697-717nm)</t>
  </si>
  <si>
    <t>CS-FUV-58</t>
  </si>
  <si>
    <t>UV filter (UV032)</t>
  </si>
  <si>
    <t>CS-FLP-58</t>
  </si>
  <si>
    <t>Long pass filter (LW032)</t>
  </si>
  <si>
    <t>CS-FUV06-58</t>
  </si>
  <si>
    <t>UV Filter (UV06) for stain free imaging [572-625nm]</t>
  </si>
  <si>
    <t>Workflow Packages</t>
  </si>
  <si>
    <t>SKU</t>
  </si>
  <si>
    <t>WESTERNFLOWLITE</t>
  </si>
  <si>
    <t>Complete Western Blotting workflow solution with chemiLITE</t>
  </si>
  <si>
    <t>WESTERNFLOWXS</t>
  </si>
  <si>
    <t>Complete Mini  Blotting workflow solution with chemiPRO XS</t>
  </si>
  <si>
    <t>WESTERNFLOWXLMINI</t>
  </si>
  <si>
    <t>Complete Mini Blotting workflow solution with chemiPRO XL</t>
  </si>
  <si>
    <t>WESTERNFLOWXLMAXI</t>
  </si>
  <si>
    <t>Complete Maxi  Blotting workflow solution with chemiPRO XL</t>
  </si>
  <si>
    <t>WESTERNFLOWPROMINI</t>
  </si>
  <si>
    <t>Complete Mini Blotting workflow solution with chemiPRO</t>
  </si>
  <si>
    <t>WESTERNFLOWPROMAXI</t>
  </si>
  <si>
    <t>Complete Maxi Blotting workflow solution with chemiPRO</t>
  </si>
  <si>
    <t>WESTERNFLOWXSRGB</t>
  </si>
  <si>
    <t>Complete Mini RGB Blotting package with chemiPRO XS6 220V</t>
  </si>
  <si>
    <t>WESTERNFLOWXLMINIRGB</t>
  </si>
  <si>
    <t>Complete Mini RGB Blotting package with chemiPRO XL</t>
  </si>
  <si>
    <t>WESTERNFLOWXLMAXIRGB</t>
  </si>
  <si>
    <t>Complete Maxi RGB Blotting package with chemiPRO XL</t>
  </si>
  <si>
    <t>WESTERNFLOWPROMINIRGB</t>
  </si>
  <si>
    <t>Complete Mini RGB Blotting package with chemiPRO</t>
  </si>
  <si>
    <t>WESTERNFLOWPROMAXIRGB</t>
  </si>
  <si>
    <t>Complete Maxi RGB Blotting package with chemiPRO</t>
  </si>
  <si>
    <t>GELONEPACK</t>
  </si>
  <si>
    <t>Complete 15 x 15 cm agarose gel documentation kit with gelONE</t>
  </si>
  <si>
    <t>GELLITEPACK</t>
  </si>
  <si>
    <t>Complete Mini agarose gel documentation kit with gelLITE</t>
  </si>
  <si>
    <t>GELPROPACK</t>
  </si>
  <si>
    <t>Complete Maxi agarose gel documentation kit with gelPRO</t>
  </si>
  <si>
    <t>GELONEXE -BASE</t>
  </si>
  <si>
    <t>gelONE-XE BASE ONLY 230V,  50Hz, Europe</t>
  </si>
  <si>
    <t>Complete Mini RGB Blotting package with chemiPRO XS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</si>
</sst>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809]* #,##0.00_-;\-[$£-809]* #,##0.00_-;_-[$£-809]* &quot;-&quot;??_-;_-@_-"/>
    <numFmt numFmtId="166" formatCode="_-[$$-409]* #,##0.00_ ;_-[$$-409]* \-#,##0.00\ ;_-[$$-409]* &quot;-&quot;??_ ;_-@_ "/>
  </numFmts>
  <fonts count="7">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u/>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164" fontId="0" fillId="0" borderId="0" xfId="1" applyFont="1"/>
    <xf numFmtId="0" fontId="2" fillId="0" borderId="0" xfId="0" applyFont="1"/>
    <xf numFmtId="0" fontId="2" fillId="0" borderId="0" xfId="0" applyFont="1" applyAlignment="1">
      <alignment vertical="top"/>
    </xf>
    <xf numFmtId="0" fontId="0" fillId="0" borderId="0" xfId="0" applyAlignment="1">
      <alignment vertical="top"/>
    </xf>
    <xf numFmtId="0" fontId="2" fillId="0" borderId="0" xfId="0" applyFont="1" applyAlignment="1">
      <alignment horizontal="left" vertical="top"/>
    </xf>
    <xf numFmtId="164" fontId="0" fillId="0" borderId="0" xfId="0" applyNumberFormat="1"/>
    <xf numFmtId="165" fontId="0" fillId="0" borderId="0" xfId="0" applyNumberFormat="1"/>
    <xf numFmtId="0" fontId="3" fillId="0" borderId="0" xfId="0" applyFont="1"/>
    <xf numFmtId="0" fontId="4" fillId="0" borderId="0" xfId="0" applyFont="1"/>
    <xf numFmtId="0" fontId="5" fillId="0" borderId="0" xfId="0" applyFont="1"/>
    <xf numFmtId="0" fontId="0" fillId="0" borderId="0" xfId="0" applyAlignment="1">
      <alignment horizontal="left" vertical="top" wrapText="1"/>
    </xf>
    <xf numFmtId="166" fontId="0" fillId="0" borderId="0" xfId="1" applyNumberFormat="1" applyFont="1"/>
    <xf numFmtId="166" fontId="0" fillId="0" borderId="0" xfId="0" applyNumberFormat="1"/>
    <xf numFmtId="166" fontId="3" fillId="0" borderId="0" xfId="1" applyNumberFormat="1" applyFont="1"/>
    <xf numFmtId="0" fontId="6" fillId="0" borderId="0" xfId="0" applyFont="1"/>
    <xf numFmtId="166" fontId="6" fillId="0" borderId="0" xfId="1" applyNumberFormat="1" applyFont="1"/>
    <xf numFmtId="164" fontId="6" fillId="0" borderId="0" xfId="0" applyNumberFormat="1" applyFont="1"/>
    <xf numFmtId="166" fontId="6" fillId="0" borderId="0" xfId="1" applyNumberFormat="1" applyFont="1" applyFill="1"/>
    <xf numFmtId="166" fontId="0" fillId="0" borderId="0" xfId="1" applyNumberFormat="1" applyFont="1" applyFill="1"/>
    <xf numFmtId="164" fontId="0" fillId="0" borderId="0" xfId="1" applyFont="1" applyFill="1"/>
    <xf numFmtId="166" fontId="3" fillId="0" borderId="0" xfId="0" applyNumberFormat="1" applyFont="1"/>
    <xf numFmtId="0" fontId="0" fillId="0" borderId="0" xfId="0" applyAlignment="1">
      <alignment horizontal="left" vertical="top" wrapText="1"/>
    </xf>
    <xf numFmtId="0" fontId="0" fillId="0" borderId="0" xfId="0" applyAlignment="1">
      <alignment vertical="top" wrapText="1"/>
    </xf>
  </cellXfs>
  <cellStyles count="3">
    <cellStyle name="Moeda" xfId="1" builtinId="4"/>
    <cellStyle name="Normal" xfId="0" builtinId="0"/>
    <cellStyle name="Percent 3" xfId="2" xr:uid="{A863F4F7-84C0-4644-9E8E-B8B9B7D891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2</xdr:row>
      <xdr:rowOff>9525</xdr:rowOff>
    </xdr:from>
    <xdr:to>
      <xdr:col>0</xdr:col>
      <xdr:colOff>1038226</xdr:colOff>
      <xdr:row>2</xdr:row>
      <xdr:rowOff>1257300</xdr:rowOff>
    </xdr:to>
    <xdr:pic>
      <xdr:nvPicPr>
        <xdr:cNvPr id="2" name="Picture 1" descr="https://files.plytix.com/api/v1.1/thumb/public_files/pim/assets/80/af/d5/5a/5ad5af80bc1f7d0473c16f75/images/3e/1f/19/5c/5c191f3e5e9b0f0460aaf873/gelONE%20Side.jpg">
          <a:extLst>
            <a:ext uri="{FF2B5EF4-FFF2-40B4-BE49-F238E27FC236}">
              <a16:creationId xmlns:a16="http://schemas.microsoft.com/office/drawing/2014/main" id="{C772DA2D-0467-4410-BD5F-D12A469710D6}"/>
            </a:ext>
          </a:extLst>
        </xdr:cNvPr>
        <xdr:cNvPicPr>
          <a:picLocks noChangeAspect="1" noChangeArrowheads="1"/>
        </xdr:cNvPicPr>
      </xdr:nvPicPr>
      <xdr:blipFill rotWithShape="1">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xdr:blipFill>
      <xdr:spPr bwMode="auto">
        <a:xfrm>
          <a:off x="95250" y="390525"/>
          <a:ext cx="942976"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1190625</xdr:colOff>
      <xdr:row>3</xdr:row>
      <xdr:rowOff>19050</xdr:rowOff>
    </xdr:to>
    <xdr:pic>
      <xdr:nvPicPr>
        <xdr:cNvPr id="4" name="Picture 3" descr="https://files.plytix.com/api/v1.1/file/public_files/pim/assets/80/af/d5/5a/5ad5af80bc1f7d0473c16f75/images/35/d9/f6/5b/5bf6d93590b1d60467b43cf7/gellite%20closed.png">
          <a:extLst>
            <a:ext uri="{FF2B5EF4-FFF2-40B4-BE49-F238E27FC236}">
              <a16:creationId xmlns:a16="http://schemas.microsoft.com/office/drawing/2014/main" id="{7D9E3931-0C56-4016-985B-B8936FC64F17}"/>
            </a:ext>
          </a:extLst>
        </xdr:cNvPr>
        <xdr:cNvPicPr>
          <a:picLocks noChangeAspect="1" noChangeArrowheads="1"/>
        </xdr:cNvPicPr>
      </xdr:nvPicPr>
      <xdr:blipFill rotWithShape="1">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xdr:blipFill>
      <xdr:spPr bwMode="auto">
        <a:xfrm>
          <a:off x="57150" y="0"/>
          <a:ext cx="11334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152400</xdr:rowOff>
    </xdr:from>
    <xdr:to>
      <xdr:col>1</xdr:col>
      <xdr:colOff>457200</xdr:colOff>
      <xdr:row>3</xdr:row>
      <xdr:rowOff>85725</xdr:rowOff>
    </xdr:to>
    <xdr:pic>
      <xdr:nvPicPr>
        <xdr:cNvPr id="2" name="Picture 1">
          <a:extLst>
            <a:ext uri="{FF2B5EF4-FFF2-40B4-BE49-F238E27FC236}">
              <a16:creationId xmlns:a16="http://schemas.microsoft.com/office/drawing/2014/main" id="{A46CA6BF-5E0C-45E1-8957-9EA42515A950}"/>
            </a:ext>
          </a:extLst>
        </xdr:cNvPr>
        <xdr:cNvPicPr>
          <a:picLocks noChangeAspect="1"/>
        </xdr:cNvPicPr>
      </xdr:nvPicPr>
      <xdr:blipFill>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76200" y="152400"/>
          <a:ext cx="1762125" cy="1762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38100</xdr:rowOff>
    </xdr:from>
    <xdr:to>
      <xdr:col>1</xdr:col>
      <xdr:colOff>400050</xdr:colOff>
      <xdr:row>3</xdr:row>
      <xdr:rowOff>57150</xdr:rowOff>
    </xdr:to>
    <xdr:pic>
      <xdr:nvPicPr>
        <xdr:cNvPr id="2" name="Picture 1" descr="https://files.plytix.com/api/v1.1/thumb/public_files/pim/assets/80/af/d5/5a/5ad5af80bc1f7d0473c16f75/images/99/02/b2/5b/5bb2029958c9080466decf83/chemiLITE.jpg">
          <a:extLst>
            <a:ext uri="{FF2B5EF4-FFF2-40B4-BE49-F238E27FC236}">
              <a16:creationId xmlns:a16="http://schemas.microsoft.com/office/drawing/2014/main" id="{9C3106CA-0D48-4896-B514-24C9F599C534}"/>
            </a:ext>
          </a:extLst>
        </xdr:cNvPr>
        <xdr:cNvPicPr>
          <a:picLocks noChangeAspect="1" noChangeArrowheads="1"/>
        </xdr:cNvPicPr>
      </xdr:nvPicPr>
      <xdr:blipFill rotWithShape="1">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xdr:blipFill>
      <xdr:spPr bwMode="auto">
        <a:xfrm>
          <a:off x="66675" y="38100"/>
          <a:ext cx="1447800"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581025</xdr:colOff>
      <xdr:row>4</xdr:row>
      <xdr:rowOff>9525</xdr:rowOff>
    </xdr:to>
    <xdr:pic>
      <xdr:nvPicPr>
        <xdr:cNvPr id="2" name="Picture 1">
          <a:extLst>
            <a:ext uri="{FF2B5EF4-FFF2-40B4-BE49-F238E27FC236}">
              <a16:creationId xmlns:a16="http://schemas.microsoft.com/office/drawing/2014/main" id="{D66400DA-C5D0-484B-821B-945856367ECA}"/>
            </a:ext>
          </a:extLst>
        </xdr:cNvPr>
        <xdr:cNvPicPr>
          <a:picLocks noChangeAspect="1"/>
        </xdr:cNvPicPr>
      </xdr:nvPicPr>
      <xdr:blipFill>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0" y="0"/>
          <a:ext cx="1762125" cy="1762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361951</xdr:colOff>
      <xdr:row>0</xdr:row>
      <xdr:rowOff>76200</xdr:rowOff>
    </xdr:from>
    <xdr:to>
      <xdr:col>1</xdr:col>
      <xdr:colOff>556950</xdr:colOff>
      <xdr:row>3</xdr:row>
      <xdr:rowOff>139126</xdr:rowOff>
    </xdr:to>
    <xdr:pic>
      <xdr:nvPicPr>
        <xdr:cNvPr id="2" name="Picture 1">
          <a:extLst>
            <a:ext uri="{FF2B5EF4-FFF2-40B4-BE49-F238E27FC236}">
              <a16:creationId xmlns:a16="http://schemas.microsoft.com/office/drawing/2014/main" id="{532B4170-3134-437B-A161-08347030EA6B}"/>
            </a:ext>
          </a:extLst>
        </xdr:cNvPr>
        <xdr:cNvPicPr>
          <a:picLocks noChangeAspect="1"/>
        </xdr:cNvPicPr>
      </xdr:nvPicPr>
      <xdr:blipFill>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361951" y="76200"/>
          <a:ext cx="1576124" cy="21012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293684</xdr:colOff>
      <xdr:row>2</xdr:row>
      <xdr:rowOff>13690</xdr:rowOff>
    </xdr:from>
    <xdr:to>
      <xdr:col>1</xdr:col>
      <xdr:colOff>563060</xdr:colOff>
      <xdr:row>3</xdr:row>
      <xdr:rowOff>1905</xdr:rowOff>
    </xdr:to>
    <xdr:pic>
      <xdr:nvPicPr>
        <xdr:cNvPr id="2" name="Picture 1">
          <a:extLst>
            <a:ext uri="{FF2B5EF4-FFF2-40B4-BE49-F238E27FC236}">
              <a16:creationId xmlns:a16="http://schemas.microsoft.com/office/drawing/2014/main" id="{6C1FCDD3-6FD4-4D09-B0F3-31C35C266DCC}"/>
            </a:ext>
          </a:extLst>
        </xdr:cNvPr>
        <xdr:cNvPicPr>
          <a:picLocks noChangeAspect="1"/>
        </xdr:cNvPicPr>
      </xdr:nvPicPr>
      <xdr:blipFill>
        <a:blip xmlns:r="http://schemas.openxmlformats.org/officeDocument/2006/relationships" r:embed="rId1"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293684" y="394690"/>
          <a:ext cx="1640976" cy="17103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070A-C6C4-4567-AF07-576AB33C25A1}">
  <dimension ref="A1:E44"/>
  <sheetViews>
    <sheetView workbookViewId="0">
      <selection activeCell="A9" sqref="A9"/>
    </sheetView>
  </sheetViews>
  <sheetFormatPr defaultRowHeight="14.45"/>
  <cols>
    <col min="1" max="1" width="18.42578125" customWidth="1"/>
    <col min="2" max="3" width="17.42578125" customWidth="1"/>
    <col min="4" max="4" width="63.85546875" customWidth="1"/>
  </cols>
  <sheetData>
    <row r="1" spans="1:4">
      <c r="A1" s="10" t="s">
        <v>0</v>
      </c>
    </row>
    <row r="2" spans="1:4">
      <c r="B2" s="3" t="s">
        <v>1</v>
      </c>
      <c r="C2" s="3"/>
    </row>
    <row r="3" spans="1:4" ht="112.5" customHeight="1">
      <c r="B3" s="22" t="s">
        <v>2</v>
      </c>
      <c r="C3" s="22"/>
      <c r="D3" s="22"/>
    </row>
    <row r="5" spans="1:4">
      <c r="A5" s="2" t="s">
        <v>3</v>
      </c>
      <c r="B5" t="s">
        <v>4</v>
      </c>
    </row>
    <row r="6" spans="1:4">
      <c r="A6" t="s">
        <v>5</v>
      </c>
      <c r="B6" t="s">
        <v>6</v>
      </c>
      <c r="C6" t="s">
        <v>7</v>
      </c>
    </row>
    <row r="7" spans="1:4">
      <c r="A7" t="s">
        <v>8</v>
      </c>
      <c r="B7" s="12">
        <f>INDEX('Raw Data for ERP Import'!$B:$B,MATCH(A7,'Raw Data for ERP Import'!$A:$A,0))</f>
        <v>7963</v>
      </c>
      <c r="C7" t="s">
        <v>9</v>
      </c>
    </row>
    <row r="8" spans="1:4">
      <c r="A8" t="s">
        <v>10</v>
      </c>
      <c r="B8" s="12">
        <f>INDEX('Raw Data for ERP Import'!$B:$B,MATCH(A8,'Raw Data for ERP Import'!$A:$A,0))</f>
        <v>7963</v>
      </c>
      <c r="C8" t="s">
        <v>11</v>
      </c>
    </row>
    <row r="9" spans="1:4">
      <c r="A9" t="s">
        <v>12</v>
      </c>
      <c r="B9" s="12">
        <f>INDEX('Raw Data for ERP Import'!$B:$B,MATCH(A9,'Raw Data for ERP Import'!$A:$A,0))</f>
        <v>7963</v>
      </c>
      <c r="C9" t="s">
        <v>13</v>
      </c>
    </row>
    <row r="11" spans="1:4">
      <c r="A11" s="15" t="s">
        <v>14</v>
      </c>
      <c r="B11" s="16">
        <f>INDEX('Raw Data for ERP Import'!$B:$B,MATCH(A11,'Raw Data for ERP Import'!$A:$A,0))</f>
        <v>0</v>
      </c>
      <c r="C11" s="15" t="s">
        <v>15</v>
      </c>
    </row>
    <row r="12" spans="1:4">
      <c r="A12" s="15" t="s">
        <v>16</v>
      </c>
      <c r="B12" s="16">
        <f>INDEX('Raw Data for ERP Import'!$B:$B,MATCH(A12,'Raw Data for ERP Import'!$A:$A,0))</f>
        <v>0</v>
      </c>
      <c r="C12" s="15" t="s">
        <v>17</v>
      </c>
    </row>
    <row r="13" spans="1:4">
      <c r="A13" s="15" t="s">
        <v>18</v>
      </c>
      <c r="B13" s="16">
        <f>INDEX('Raw Data for ERP Import'!$B:$B,MATCH(A13,'Raw Data for ERP Import'!$A:$A,0))</f>
        <v>0</v>
      </c>
      <c r="C13" s="15" t="s">
        <v>19</v>
      </c>
    </row>
    <row r="14" spans="1:4">
      <c r="A14" s="15"/>
      <c r="B14" s="16"/>
      <c r="C14" s="15"/>
    </row>
    <row r="15" spans="1:4">
      <c r="A15" s="15" t="s">
        <v>20</v>
      </c>
      <c r="B15" s="16">
        <f>INDEX('Raw Data for ERP Import'!$B:$B,MATCH(A15,'Raw Data for ERP Import'!$A:$A,0))</f>
        <v>0</v>
      </c>
      <c r="C15" s="15" t="s">
        <v>21</v>
      </c>
    </row>
    <row r="16" spans="1:4">
      <c r="A16" s="15" t="s">
        <v>22</v>
      </c>
      <c r="B16" s="16">
        <f>INDEX('Raw Data for ERP Import'!$B:$B,MATCH(A16,'Raw Data for ERP Import'!$A:$A,0))</f>
        <v>0</v>
      </c>
      <c r="C16" s="15" t="s">
        <v>23</v>
      </c>
    </row>
    <row r="17" spans="1:5">
      <c r="A17" s="15" t="s">
        <v>24</v>
      </c>
      <c r="B17" s="16">
        <f>INDEX('Raw Data for ERP Import'!$B:$B,MATCH(A17,'Raw Data for ERP Import'!$A:$A,0))</f>
        <v>0</v>
      </c>
      <c r="C17" s="15" t="s">
        <v>25</v>
      </c>
    </row>
    <row r="18" spans="1:5">
      <c r="B18" s="12"/>
    </row>
    <row r="19" spans="1:5">
      <c r="A19" s="2" t="s">
        <v>26</v>
      </c>
      <c r="B19" s="13"/>
    </row>
    <row r="20" spans="1:5">
      <c r="A20" t="s">
        <v>5</v>
      </c>
      <c r="B20" s="13"/>
      <c r="C20" t="s">
        <v>7</v>
      </c>
    </row>
    <row r="21" spans="1:5">
      <c r="A21" t="s">
        <v>27</v>
      </c>
      <c r="B21" s="12">
        <f>INDEX('Raw Data for ERP Import'!$B:$B,MATCH(A21,'Raw Data for ERP Import'!$A:$A,0))</f>
        <v>603.50713862400005</v>
      </c>
      <c r="C21" t="s">
        <v>28</v>
      </c>
    </row>
    <row r="22" spans="1:5">
      <c r="A22" t="s">
        <v>29</v>
      </c>
      <c r="B22" s="12">
        <f>INDEX('Raw Data for ERP Import'!$B:$B,MATCH(A22,'Raw Data for ERP Import'!$A:$A,0))</f>
        <v>103.13730000000002</v>
      </c>
      <c r="C22" t="s">
        <v>30</v>
      </c>
    </row>
    <row r="23" spans="1:5">
      <c r="A23" t="s">
        <v>31</v>
      </c>
      <c r="B23" s="12">
        <f>INDEX('Raw Data for ERP Import'!$B:$B,MATCH(A23,'Raw Data for ERP Import'!$A:$A,0))</f>
        <v>155.12683492800002</v>
      </c>
      <c r="C23" t="s">
        <v>32</v>
      </c>
    </row>
    <row r="24" spans="1:5">
      <c r="A24" t="s">
        <v>33</v>
      </c>
      <c r="B24" s="12">
        <f>INDEX('Raw Data for ERP Import'!$B:$B,MATCH(A24,'Raw Data for ERP Import'!$A:$A,0))</f>
        <v>454.7553791040001</v>
      </c>
      <c r="C24" t="s">
        <v>34</v>
      </c>
    </row>
    <row r="25" spans="1:5">
      <c r="A25" t="s">
        <v>35</v>
      </c>
      <c r="B25" s="12">
        <f>INDEX('Raw Data for ERP Import'!$B:$B,MATCH(A25,'Raw Data for ERP Import'!$A:$A,0))</f>
        <v>28.890000000000004</v>
      </c>
      <c r="C25" t="s">
        <v>36</v>
      </c>
    </row>
    <row r="26" spans="1:5">
      <c r="A26" s="15" t="s">
        <v>37</v>
      </c>
      <c r="B26" s="16"/>
      <c r="C26" s="15" t="s">
        <v>38</v>
      </c>
      <c r="D26" s="15"/>
      <c r="E26" s="15" t="s">
        <v>39</v>
      </c>
    </row>
    <row r="27" spans="1:5">
      <c r="A27" t="s">
        <v>40</v>
      </c>
      <c r="B27" s="12">
        <f>INDEX('Raw Data for ERP Import'!$B:$B,MATCH(A27,'Raw Data for ERP Import'!$A:$A,0))</f>
        <v>210.37748846400004</v>
      </c>
      <c r="C27" t="s">
        <v>41</v>
      </c>
    </row>
    <row r="28" spans="1:5">
      <c r="A28" t="s">
        <v>42</v>
      </c>
      <c r="B28" s="12">
        <f>INDEX('Raw Data for ERP Import'!$B:$B,MATCH(A28,'Raw Data for ERP Import'!$A:$A,0))</f>
        <v>57.635550000000002</v>
      </c>
      <c r="C28" t="s">
        <v>43</v>
      </c>
    </row>
    <row r="29" spans="1:5">
      <c r="A29" t="s">
        <v>44</v>
      </c>
      <c r="B29" s="19">
        <v>1235</v>
      </c>
      <c r="C29" t="s">
        <v>45</v>
      </c>
    </row>
    <row r="30" spans="1:5">
      <c r="B30" s="12"/>
    </row>
    <row r="31" spans="1:5">
      <c r="A31" s="2" t="s">
        <v>46</v>
      </c>
      <c r="B31" s="13"/>
    </row>
    <row r="32" spans="1:5">
      <c r="A32" t="s">
        <v>5</v>
      </c>
      <c r="B32" s="13"/>
      <c r="C32" t="s">
        <v>7</v>
      </c>
    </row>
    <row r="33" spans="1:4">
      <c r="A33" t="s">
        <v>47</v>
      </c>
      <c r="B33" s="12" t="e">
        <f>INDEX('Raw Data for ERP Import'!$B:$B,MATCH(A33,'Raw Data for ERP Import'!$A:$A,0))</f>
        <v>#N/A</v>
      </c>
      <c r="C33" t="s">
        <v>48</v>
      </c>
    </row>
    <row r="34" spans="1:4">
      <c r="A34" s="15" t="s">
        <v>49</v>
      </c>
      <c r="B34" s="16">
        <f>INDEX('Raw Data for ERP Import'!$B:$B,MATCH(A34,'Raw Data for ERP Import'!$A:$A,0))</f>
        <v>0</v>
      </c>
      <c r="C34" s="15" t="s">
        <v>50</v>
      </c>
    </row>
    <row r="35" spans="1:4">
      <c r="A35" t="s">
        <v>51</v>
      </c>
      <c r="B35" s="12">
        <f>INDEX('Raw Data for ERP Import'!$B:$B,MATCH(A35,'Raw Data for ERP Import'!$A:$A,0))</f>
        <v>853.15781250000009</v>
      </c>
      <c r="C35" t="s">
        <v>52</v>
      </c>
      <c r="D35" t="s">
        <v>53</v>
      </c>
    </row>
    <row r="36" spans="1:4">
      <c r="A36" t="s">
        <v>54</v>
      </c>
      <c r="B36" s="12">
        <f>INDEX('Raw Data for ERP Import'!$B:$B,MATCH(A36,'Raw Data for ERP Import'!$A:$A,0))</f>
        <v>1057.6051200000002</v>
      </c>
      <c r="C36" t="s">
        <v>55</v>
      </c>
    </row>
    <row r="37" spans="1:4">
      <c r="A37" t="s">
        <v>56</v>
      </c>
      <c r="B37" s="12">
        <f>INDEX('Raw Data for ERP Import'!$B:$B,MATCH(A37,'Raw Data for ERP Import'!$A:$A,0))</f>
        <v>27.625326768000008</v>
      </c>
      <c r="C37" t="s">
        <v>57</v>
      </c>
    </row>
    <row r="38" spans="1:4">
      <c r="A38" t="s">
        <v>58</v>
      </c>
      <c r="B38" s="12">
        <f>INDEX('Raw Data for ERP Import'!$B:$B,MATCH(A38,'Raw Data for ERP Import'!$A:$A,0))</f>
        <v>27.625326768000008</v>
      </c>
      <c r="C38" t="s">
        <v>59</v>
      </c>
    </row>
    <row r="39" spans="1:4">
      <c r="A39" t="s">
        <v>60</v>
      </c>
      <c r="B39" s="12">
        <f>INDEX('Raw Data for ERP Import'!$B:$B,MATCH(A39,'Raw Data for ERP Import'!$A:$A,0))</f>
        <v>27.051569981280004</v>
      </c>
      <c r="C39" t="s">
        <v>61</v>
      </c>
    </row>
    <row r="40" spans="1:4">
      <c r="A40" t="s">
        <v>62</v>
      </c>
      <c r="B40" s="12">
        <f>INDEX('Raw Data for ERP Import'!$B:$B,MATCH(A40,'Raw Data for ERP Import'!$A:$A,0))</f>
        <v>33.816587501736002</v>
      </c>
      <c r="C40" t="s">
        <v>63</v>
      </c>
    </row>
    <row r="41" spans="1:4">
      <c r="A41" t="s">
        <v>64</v>
      </c>
      <c r="B41" s="12">
        <f>INDEX('Raw Data for ERP Import'!$B:$B,MATCH(A41,'Raw Data for ERP Import'!$A:$A,0))</f>
        <v>27.593451390960002</v>
      </c>
      <c r="C41" t="s">
        <v>65</v>
      </c>
    </row>
    <row r="42" spans="1:4">
      <c r="A42" t="s">
        <v>66</v>
      </c>
      <c r="B42" s="19">
        <v>17.55</v>
      </c>
      <c r="C42" t="s">
        <v>67</v>
      </c>
    </row>
    <row r="43" spans="1:4">
      <c r="A43" t="s">
        <v>68</v>
      </c>
      <c r="B43" s="19">
        <v>17.55</v>
      </c>
      <c r="C43" t="s">
        <v>69</v>
      </c>
    </row>
    <row r="44" spans="1:4">
      <c r="B44" s="20"/>
      <c r="C44" s="20"/>
    </row>
  </sheetData>
  <mergeCells count="1">
    <mergeCell ref="B3:D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952D-2139-4389-A8B4-FBB0EDECF2F3}">
  <dimension ref="A2:E53"/>
  <sheetViews>
    <sheetView workbookViewId="0">
      <selection activeCell="H9" sqref="H9"/>
    </sheetView>
  </sheetViews>
  <sheetFormatPr defaultRowHeight="14.45"/>
  <cols>
    <col min="1" max="1" width="19.140625" bestFit="1" customWidth="1"/>
    <col min="2" max="3" width="15.42578125" customWidth="1"/>
    <col min="4" max="4" width="74" bestFit="1" customWidth="1"/>
  </cols>
  <sheetData>
    <row r="2" spans="1:4">
      <c r="B2" s="3" t="s">
        <v>70</v>
      </c>
      <c r="C2" s="3"/>
      <c r="D2" s="4"/>
    </row>
    <row r="3" spans="1:4" ht="78.75" customHeight="1">
      <c r="B3" s="23" t="s">
        <v>71</v>
      </c>
      <c r="C3" s="23"/>
      <c r="D3" s="23"/>
    </row>
    <row r="5" spans="1:4" ht="48.75" customHeight="1">
      <c r="A5" s="3" t="s">
        <v>3</v>
      </c>
      <c r="B5" s="22" t="s">
        <v>72</v>
      </c>
      <c r="C5" s="22"/>
      <c r="D5" s="22"/>
    </row>
    <row r="7" spans="1:4">
      <c r="A7" t="s">
        <v>5</v>
      </c>
      <c r="B7" t="s">
        <v>6</v>
      </c>
      <c r="C7" t="s">
        <v>7</v>
      </c>
    </row>
    <row r="8" spans="1:4">
      <c r="A8" t="s">
        <v>73</v>
      </c>
      <c r="B8" s="12">
        <f>INDEX('Raw Data for ERP Import'!$B:$B,MATCH(A8,'Raw Data for ERP Import'!$A:$A,0))</f>
        <v>4170.9937500000005</v>
      </c>
      <c r="C8" t="s">
        <v>74</v>
      </c>
    </row>
    <row r="9" spans="1:4">
      <c r="A9" t="s">
        <v>75</v>
      </c>
      <c r="B9" s="12">
        <f>INDEX('Raw Data for ERP Import'!$B:$B,MATCH(A9,'Raw Data for ERP Import'!$A:$A,0))</f>
        <v>4626.0112500000005</v>
      </c>
      <c r="C9" t="s">
        <v>76</v>
      </c>
    </row>
    <row r="10" spans="1:4">
      <c r="A10" t="s">
        <v>77</v>
      </c>
      <c r="B10" s="12">
        <f>INDEX('Raw Data for ERP Import'!$B:$B,MATCH(A10,'Raw Data for ERP Import'!$A:$A,0))</f>
        <v>4436.4206250000007</v>
      </c>
      <c r="C10" t="s">
        <v>78</v>
      </c>
    </row>
    <row r="11" spans="1:4">
      <c r="A11" t="s">
        <v>79</v>
      </c>
      <c r="B11" s="12">
        <f>INDEX('Raw Data for ERP Import'!$B:$B,MATCH(A11,'Raw Data for ERP Import'!$A:$A,0))</f>
        <v>4747.3492500000011</v>
      </c>
      <c r="C11" t="s">
        <v>80</v>
      </c>
    </row>
    <row r="12" spans="1:4">
      <c r="B12" s="12"/>
    </row>
    <row r="13" spans="1:4">
      <c r="A13" t="s">
        <v>81</v>
      </c>
      <c r="B13" s="12">
        <f>INDEX('Raw Data for ERP Import'!$B:$B,MATCH(A13,'Raw Data for ERP Import'!$A:$A,0))</f>
        <v>4170.9937500000005</v>
      </c>
      <c r="C13" t="s">
        <v>82</v>
      </c>
    </row>
    <row r="14" spans="1:4">
      <c r="A14" t="s">
        <v>83</v>
      </c>
      <c r="B14" s="12">
        <f>INDEX('Raw Data for ERP Import'!$B:$B,MATCH(A14,'Raw Data for ERP Import'!$A:$A,0))</f>
        <v>4626.0112500000005</v>
      </c>
      <c r="C14" t="s">
        <v>84</v>
      </c>
    </row>
    <row r="15" spans="1:4">
      <c r="A15" t="s">
        <v>85</v>
      </c>
      <c r="B15" s="12">
        <f>INDEX('Raw Data for ERP Import'!$B:$B,MATCH(A15,'Raw Data for ERP Import'!$A:$A,0))</f>
        <v>4436.4206250000007</v>
      </c>
      <c r="C15" t="s">
        <v>86</v>
      </c>
    </row>
    <row r="16" spans="1:4">
      <c r="A16" t="s">
        <v>87</v>
      </c>
      <c r="B16" s="12">
        <f>INDEX('Raw Data for ERP Import'!$B:$B,MATCH(A16,'Raw Data for ERP Import'!$A:$A,0))</f>
        <v>4747.3492500000011</v>
      </c>
      <c r="C16" t="s">
        <v>88</v>
      </c>
    </row>
    <row r="17" spans="1:5">
      <c r="B17" s="12"/>
    </row>
    <row r="18" spans="1:5">
      <c r="A18" t="s">
        <v>89</v>
      </c>
      <c r="B18" s="12">
        <f>INDEX('Raw Data for ERP Import'!$B:$B,MATCH(A18,'Raw Data for ERP Import'!$A:$A,0))</f>
        <v>4170.9937500000005</v>
      </c>
      <c r="C18" t="s">
        <v>90</v>
      </c>
    </row>
    <row r="19" spans="1:5">
      <c r="A19" t="s">
        <v>91</v>
      </c>
      <c r="B19" s="12">
        <f>INDEX('Raw Data for ERP Import'!$B:$B,MATCH(A19,'Raw Data for ERP Import'!$A:$A,0))</f>
        <v>4626.0112500000005</v>
      </c>
      <c r="C19" t="s">
        <v>92</v>
      </c>
    </row>
    <row r="20" spans="1:5">
      <c r="A20" t="s">
        <v>93</v>
      </c>
      <c r="B20" s="12">
        <f>INDEX('Raw Data for ERP Import'!$B:$B,MATCH(A20,'Raw Data for ERP Import'!$A:$A,0))</f>
        <v>4436.4206250000007</v>
      </c>
      <c r="C20" t="s">
        <v>94</v>
      </c>
    </row>
    <row r="21" spans="1:5">
      <c r="A21" t="s">
        <v>95</v>
      </c>
      <c r="B21" s="12">
        <f>INDEX('Raw Data for ERP Import'!$B:$B,MATCH(A21,'Raw Data for ERP Import'!$A:$A,0))</f>
        <v>4747.3492500000011</v>
      </c>
      <c r="C21" t="s">
        <v>96</v>
      </c>
    </row>
    <row r="22" spans="1:5">
      <c r="B22" s="13"/>
    </row>
    <row r="23" spans="1:5">
      <c r="A23" s="2" t="s">
        <v>26</v>
      </c>
      <c r="B23" s="13"/>
    </row>
    <row r="24" spans="1:5">
      <c r="A24" t="s">
        <v>5</v>
      </c>
      <c r="B24" s="13"/>
      <c r="C24" t="s">
        <v>7</v>
      </c>
    </row>
    <row r="25" spans="1:5">
      <c r="A25" t="s">
        <v>27</v>
      </c>
      <c r="B25" s="12">
        <f>INDEX('Raw Data for ERP Import'!$B:$B,MATCH(A25,'Raw Data for ERP Import'!$A:$A,0))</f>
        <v>603.50713862400005</v>
      </c>
      <c r="C25" t="s">
        <v>97</v>
      </c>
    </row>
    <row r="26" spans="1:5">
      <c r="A26" t="s">
        <v>29</v>
      </c>
      <c r="B26" s="12">
        <f>INDEX('Raw Data for ERP Import'!$B:$B,MATCH(A26,'Raw Data for ERP Import'!$A:$A,0))</f>
        <v>103.13730000000002</v>
      </c>
      <c r="C26" t="s">
        <v>30</v>
      </c>
    </row>
    <row r="27" spans="1:5">
      <c r="A27" t="s">
        <v>31</v>
      </c>
      <c r="B27" s="12">
        <f>INDEX('Raw Data for ERP Import'!$B:$B,MATCH(A27,'Raw Data for ERP Import'!$A:$A,0))</f>
        <v>155.12683492800002</v>
      </c>
      <c r="C27" t="s">
        <v>32</v>
      </c>
    </row>
    <row r="28" spans="1:5">
      <c r="A28" t="s">
        <v>98</v>
      </c>
      <c r="B28" s="12">
        <f>INDEX('Raw Data for ERP Import'!$B:$B,MATCH(A28,'Raw Data for ERP Import'!$A:$A,0))</f>
        <v>811.75960195200014</v>
      </c>
      <c r="C28" t="s">
        <v>99</v>
      </c>
    </row>
    <row r="29" spans="1:5">
      <c r="A29" t="s">
        <v>33</v>
      </c>
      <c r="B29" s="12">
        <f>INDEX('Raw Data for ERP Import'!$B:$B,MATCH(A29,'Raw Data for ERP Import'!$A:$A,0))</f>
        <v>454.7553791040001</v>
      </c>
      <c r="C29" t="s">
        <v>34</v>
      </c>
    </row>
    <row r="30" spans="1:5">
      <c r="A30" t="s">
        <v>35</v>
      </c>
      <c r="B30" s="12">
        <f>INDEX('Raw Data for ERP Import'!$B:$B,MATCH(A30,'Raw Data for ERP Import'!$A:$A,0))</f>
        <v>28.890000000000004</v>
      </c>
      <c r="C30" t="s">
        <v>36</v>
      </c>
    </row>
    <row r="31" spans="1:5">
      <c r="A31" s="15" t="s">
        <v>37</v>
      </c>
      <c r="B31" s="16"/>
      <c r="C31" s="15" t="s">
        <v>38</v>
      </c>
      <c r="D31" s="15"/>
      <c r="E31" s="15" t="s">
        <v>100</v>
      </c>
    </row>
    <row r="32" spans="1:5">
      <c r="A32" t="s">
        <v>42</v>
      </c>
      <c r="B32" s="12">
        <f>INDEX('Raw Data for ERP Import'!$B:$B,MATCH(A32,'Raw Data for ERP Import'!$A:$A,0))</f>
        <v>57.635550000000002</v>
      </c>
      <c r="C32" t="s">
        <v>43</v>
      </c>
    </row>
    <row r="33" spans="1:4">
      <c r="A33" t="s">
        <v>44</v>
      </c>
      <c r="B33" s="19">
        <v>1235</v>
      </c>
      <c r="C33" t="s">
        <v>45</v>
      </c>
    </row>
    <row r="34" spans="1:4">
      <c r="A34" t="s">
        <v>101</v>
      </c>
      <c r="B34" s="19">
        <v>975</v>
      </c>
      <c r="C34" t="s">
        <v>102</v>
      </c>
    </row>
    <row r="35" spans="1:4">
      <c r="B35" s="13"/>
    </row>
    <row r="36" spans="1:4">
      <c r="A36" s="2" t="s">
        <v>46</v>
      </c>
      <c r="B36" s="13"/>
    </row>
    <row r="37" spans="1:4">
      <c r="A37" t="s">
        <v>5</v>
      </c>
      <c r="B37" s="13"/>
      <c r="C37" t="s">
        <v>7</v>
      </c>
    </row>
    <row r="38" spans="1:4">
      <c r="A38" t="s">
        <v>103</v>
      </c>
      <c r="B38" s="12">
        <f>INDEX('Raw Data for ERP Import'!$B:$B,MATCH(A38,'Raw Data for ERP Import'!$A:$A,0))</f>
        <v>4174.7855625000002</v>
      </c>
      <c r="C38" t="s">
        <v>104</v>
      </c>
      <c r="D38" t="s">
        <v>53</v>
      </c>
    </row>
    <row r="39" spans="1:4">
      <c r="A39" t="s">
        <v>51</v>
      </c>
      <c r="B39" s="12">
        <f>INDEX('Raw Data for ERP Import'!$B:$B,MATCH(A39,'Raw Data for ERP Import'!$A:$A,0))</f>
        <v>853.15781250000009</v>
      </c>
      <c r="C39" t="s">
        <v>52</v>
      </c>
    </row>
    <row r="40" spans="1:4">
      <c r="A40" t="s">
        <v>56</v>
      </c>
      <c r="B40" s="12">
        <f>INDEX('Raw Data for ERP Import'!$B:$B,MATCH(A40,'Raw Data for ERP Import'!$A:$A,0))</f>
        <v>27.625326768000008</v>
      </c>
      <c r="C40" t="s">
        <v>57</v>
      </c>
    </row>
    <row r="41" spans="1:4">
      <c r="A41" t="s">
        <v>58</v>
      </c>
      <c r="B41" s="12">
        <f>INDEX('Raw Data for ERP Import'!$B:$B,MATCH(A41,'Raw Data for ERP Import'!$A:$A,0))</f>
        <v>27.625326768000008</v>
      </c>
      <c r="C41" t="s">
        <v>59</v>
      </c>
    </row>
    <row r="42" spans="1:4">
      <c r="A42" t="s">
        <v>60</v>
      </c>
      <c r="B42" s="12">
        <f>INDEX('Raw Data for ERP Import'!$B:$B,MATCH(A42,'Raw Data for ERP Import'!$A:$A,0))</f>
        <v>27.051569981280004</v>
      </c>
      <c r="C42" t="s">
        <v>61</v>
      </c>
    </row>
    <row r="43" spans="1:4">
      <c r="A43" t="s">
        <v>62</v>
      </c>
      <c r="B43" s="12">
        <f>INDEX('Raw Data for ERP Import'!$B:$B,MATCH(A43,'Raw Data for ERP Import'!$A:$A,0))</f>
        <v>33.816587501736002</v>
      </c>
      <c r="C43" t="s">
        <v>63</v>
      </c>
    </row>
    <row r="44" spans="1:4">
      <c r="A44" t="s">
        <v>64</v>
      </c>
      <c r="B44" s="12">
        <f>INDEX('Raw Data for ERP Import'!$B:$B,MATCH(A44,'Raw Data for ERP Import'!$A:$A,0))</f>
        <v>27.593451390960002</v>
      </c>
      <c r="C44" t="s">
        <v>65</v>
      </c>
    </row>
    <row r="45" spans="1:4">
      <c r="A45" t="s">
        <v>66</v>
      </c>
      <c r="B45" s="19">
        <v>17.55</v>
      </c>
      <c r="C45" t="s">
        <v>67</v>
      </c>
    </row>
    <row r="46" spans="1:4">
      <c r="A46" t="s">
        <v>68</v>
      </c>
      <c r="B46" s="19">
        <v>17.55</v>
      </c>
      <c r="C46" t="s">
        <v>69</v>
      </c>
    </row>
    <row r="47" spans="1:4">
      <c r="B47" s="7"/>
      <c r="C47" s="7"/>
    </row>
    <row r="49" customFormat="1"/>
    <row r="50" customFormat="1"/>
    <row r="51" customFormat="1"/>
    <row r="52" customFormat="1"/>
    <row r="53" customFormat="1"/>
  </sheetData>
  <mergeCells count="2">
    <mergeCell ref="B3:D3"/>
    <mergeCell ref="B5:D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4B26-173C-424C-BF40-2740311B6468}">
  <dimension ref="A2:E44"/>
  <sheetViews>
    <sheetView workbookViewId="0">
      <selection activeCell="K17" sqref="K17"/>
    </sheetView>
  </sheetViews>
  <sheetFormatPr defaultRowHeight="14.45"/>
  <cols>
    <col min="1" max="1" width="20.5703125" bestFit="1" customWidth="1"/>
    <col min="2" max="2" width="10.5703125" bestFit="1" customWidth="1"/>
    <col min="3" max="3" width="10.5703125" customWidth="1"/>
    <col min="4" max="4" width="61.5703125" bestFit="1" customWidth="1"/>
    <col min="5" max="5" width="17.42578125" customWidth="1"/>
    <col min="6" max="6" width="10.5703125" bestFit="1" customWidth="1"/>
  </cols>
  <sheetData>
    <row r="2" spans="1:5">
      <c r="D2" s="5" t="s">
        <v>105</v>
      </c>
    </row>
    <row r="3" spans="1:5" ht="114" customHeight="1">
      <c r="D3" s="22" t="s">
        <v>106</v>
      </c>
      <c r="E3" s="22"/>
    </row>
    <row r="5" spans="1:5" ht="48.75" customHeight="1">
      <c r="A5" s="3" t="s">
        <v>3</v>
      </c>
      <c r="B5" s="22" t="s">
        <v>107</v>
      </c>
      <c r="C5" s="22"/>
      <c r="D5" s="22"/>
    </row>
    <row r="6" spans="1:5">
      <c r="A6" t="s">
        <v>5</v>
      </c>
      <c r="B6" t="s">
        <v>6</v>
      </c>
      <c r="C6" t="s">
        <v>7</v>
      </c>
    </row>
    <row r="7" spans="1:5">
      <c r="A7" t="s">
        <v>108</v>
      </c>
      <c r="B7" s="12">
        <f>INDEX('Raw Data for ERP Import'!$B:$B,MATCH(A7,'Raw Data for ERP Import'!$A:$A,0))</f>
        <v>9372.0575995200015</v>
      </c>
      <c r="C7" t="s">
        <v>109</v>
      </c>
    </row>
    <row r="8" spans="1:5">
      <c r="A8" t="s">
        <v>110</v>
      </c>
      <c r="B8" s="12">
        <f>INDEX('Raw Data for ERP Import'!$B:$B,MATCH(A8,'Raw Data for ERP Import'!$A:$A,0))</f>
        <v>9372.0575995200015</v>
      </c>
      <c r="C8" t="s">
        <v>111</v>
      </c>
    </row>
    <row r="9" spans="1:5">
      <c r="A9" t="s">
        <v>112</v>
      </c>
      <c r="B9" s="12">
        <f>INDEX('Raw Data for ERP Import'!$B:$B,MATCH(A9,'Raw Data for ERP Import'!$A:$A,0))</f>
        <v>9372.0575995200015</v>
      </c>
      <c r="C9" t="s">
        <v>113</v>
      </c>
    </row>
    <row r="10" spans="1:5">
      <c r="A10" t="s">
        <v>114</v>
      </c>
      <c r="B10" s="12">
        <f>INDEX('Raw Data for ERP Import'!$B:$B,MATCH(A10,'Raw Data for ERP Import'!$A:$A,0))</f>
        <v>9372.0575995200015</v>
      </c>
      <c r="C10" t="s">
        <v>115</v>
      </c>
    </row>
    <row r="11" spans="1:5">
      <c r="A11" t="s">
        <v>116</v>
      </c>
      <c r="B11" s="12">
        <f>INDEX('Raw Data for ERP Import'!$B:$B,MATCH(A11,'Raw Data for ERP Import'!$A:$A,0))</f>
        <v>9372.0575995200015</v>
      </c>
      <c r="C11" t="s">
        <v>117</v>
      </c>
      <c r="E11" s="6"/>
    </row>
    <row r="12" spans="1:5">
      <c r="B12" s="13"/>
    </row>
    <row r="13" spans="1:5">
      <c r="A13" s="2" t="s">
        <v>26</v>
      </c>
      <c r="B13" s="13"/>
    </row>
    <row r="14" spans="1:5">
      <c r="A14" t="s">
        <v>5</v>
      </c>
      <c r="B14" s="13"/>
      <c r="C14" t="s">
        <v>7</v>
      </c>
    </row>
    <row r="15" spans="1:5">
      <c r="A15" t="s">
        <v>118</v>
      </c>
      <c r="B15" s="12">
        <f>INDEX('Raw Data for ERP Import'!$B:$B,MATCH(A15,'Raw Data for ERP Import'!$A:$A,0))</f>
        <v>131.75155843200002</v>
      </c>
      <c r="C15" t="s">
        <v>119</v>
      </c>
    </row>
    <row r="16" spans="1:5">
      <c r="A16" t="s">
        <v>120</v>
      </c>
      <c r="B16" s="12">
        <f>INDEX('Raw Data for ERP Import'!$B:$B,MATCH(A16,'Raw Data for ERP Import'!$A:$A,0))</f>
        <v>1132.6590288</v>
      </c>
      <c r="C16" t="s">
        <v>121</v>
      </c>
    </row>
    <row r="17" spans="1:5">
      <c r="A17" t="s">
        <v>122</v>
      </c>
      <c r="B17" s="12">
        <f>INDEX('Raw Data for ERP Import'!$B:$B,MATCH(A17,'Raw Data for ERP Import'!$A:$A,0))</f>
        <v>476.00563046400009</v>
      </c>
      <c r="C17" t="s">
        <v>123</v>
      </c>
    </row>
    <row r="18" spans="1:5">
      <c r="A18" t="s">
        <v>124</v>
      </c>
      <c r="B18" s="12">
        <f>INDEX('Raw Data for ERP Import'!$B:$B,MATCH(A18,'Raw Data for ERP Import'!$A:$A,0))</f>
        <v>128.92162500000001</v>
      </c>
      <c r="C18" t="s">
        <v>125</v>
      </c>
    </row>
    <row r="19" spans="1:5">
      <c r="A19" t="s">
        <v>126</v>
      </c>
      <c r="B19" s="12">
        <f>INDEX('Raw Data for ERP Import'!$B:$B,MATCH(A19,'Raw Data for ERP Import'!$A:$A,0))</f>
        <v>565.25668617600024</v>
      </c>
      <c r="C19" t="s">
        <v>127</v>
      </c>
    </row>
    <row r="20" spans="1:5">
      <c r="A20" t="s">
        <v>128</v>
      </c>
      <c r="B20" s="12">
        <f>INDEX('Raw Data for ERP Import'!$B:$B,MATCH(A20,'Raw Data for ERP Import'!$A:$A,0))</f>
        <v>155.12683492800002</v>
      </c>
      <c r="C20" t="s">
        <v>129</v>
      </c>
    </row>
    <row r="21" spans="1:5">
      <c r="A21" t="s">
        <v>130</v>
      </c>
      <c r="B21" s="12">
        <f>INDEX('Raw Data for ERP Import'!$B:$B,MATCH(A21,'Raw Data for ERP Import'!$A:$A,0))</f>
        <v>1300.5153832320002</v>
      </c>
      <c r="C21" t="s">
        <v>131</v>
      </c>
    </row>
    <row r="22" spans="1:5">
      <c r="A22" t="s">
        <v>132</v>
      </c>
      <c r="B22" s="12">
        <f>INDEX('Raw Data for ERP Import'!$B:$B,MATCH(A22,'Raw Data for ERP Import'!$A:$A,0))</f>
        <v>622.63236484800007</v>
      </c>
      <c r="C22" t="s">
        <v>28</v>
      </c>
    </row>
    <row r="23" spans="1:5">
      <c r="A23" t="s">
        <v>133</v>
      </c>
      <c r="B23" s="12">
        <f>INDEX('Raw Data for ERP Import'!$B:$B,MATCH(A23,'Raw Data for ERP Import'!$A:$A,0))</f>
        <v>28.890000000000004</v>
      </c>
      <c r="C23" t="s">
        <v>36</v>
      </c>
    </row>
    <row r="24" spans="1:5">
      <c r="A24" s="15" t="s">
        <v>37</v>
      </c>
      <c r="B24" s="16"/>
      <c r="C24" s="15" t="s">
        <v>38</v>
      </c>
      <c r="D24" s="15"/>
      <c r="E24" s="15" t="s">
        <v>100</v>
      </c>
    </row>
    <row r="25" spans="1:5">
      <c r="A25" t="s">
        <v>134</v>
      </c>
      <c r="B25" s="12">
        <f>INDEX('Raw Data for ERP Import'!$B:$B,MATCH(A25,'Raw Data for ERP Import'!$A:$A,0))</f>
        <v>68.252625000000009</v>
      </c>
      <c r="C25" t="s">
        <v>135</v>
      </c>
    </row>
    <row r="26" spans="1:5">
      <c r="A26" t="s">
        <v>44</v>
      </c>
      <c r="B26" s="19">
        <v>1235</v>
      </c>
      <c r="C26" t="s">
        <v>45</v>
      </c>
    </row>
    <row r="27" spans="1:5">
      <c r="A27" t="s">
        <v>101</v>
      </c>
      <c r="B27" s="19">
        <v>975</v>
      </c>
      <c r="C27" t="s">
        <v>102</v>
      </c>
    </row>
    <row r="28" spans="1:5">
      <c r="B28" s="13"/>
    </row>
    <row r="29" spans="1:5">
      <c r="A29" s="2" t="s">
        <v>46</v>
      </c>
      <c r="B29" s="13"/>
    </row>
    <row r="30" spans="1:5">
      <c r="A30" t="s">
        <v>5</v>
      </c>
      <c r="B30" s="13"/>
      <c r="C30" t="s">
        <v>7</v>
      </c>
    </row>
    <row r="31" spans="1:5">
      <c r="A31" t="s">
        <v>136</v>
      </c>
      <c r="B31" s="12">
        <f>INDEX('Raw Data for ERP Import'!$B:$B,MATCH(A31,'Raw Data for ERP Import'!$A:$A,0))</f>
        <v>5308.5375000000013</v>
      </c>
      <c r="C31" t="s">
        <v>137</v>
      </c>
    </row>
    <row r="32" spans="1:5">
      <c r="A32" t="s">
        <v>138</v>
      </c>
      <c r="B32" s="12">
        <f>INDEX('Raw Data for ERP Import'!$B:$B,MATCH(A32,'Raw Data for ERP Import'!$A:$A,0))</f>
        <v>2939.549333760001</v>
      </c>
      <c r="C32" t="s">
        <v>139</v>
      </c>
      <c r="D32" t="s">
        <v>53</v>
      </c>
    </row>
    <row r="33" spans="1:4">
      <c r="A33" t="s">
        <v>51</v>
      </c>
      <c r="B33" s="12">
        <f>INDEX('Raw Data for ERP Import'!$B:$B,MATCH(A33,'Raw Data for ERP Import'!$A:$A,0))</f>
        <v>853.15781250000009</v>
      </c>
      <c r="C33" t="s">
        <v>140</v>
      </c>
      <c r="D33" t="s">
        <v>53</v>
      </c>
    </row>
    <row r="34" spans="1:4">
      <c r="A34" t="s">
        <v>141</v>
      </c>
      <c r="B34" s="12">
        <f>INDEX('Raw Data for ERP Import'!$B:$B,MATCH(A34,'Raw Data for ERP Import'!$A:$A,0))</f>
        <v>1509.1413750000004</v>
      </c>
      <c r="C34" t="s">
        <v>142</v>
      </c>
      <c r="D34" t="s">
        <v>53</v>
      </c>
    </row>
    <row r="35" spans="1:4">
      <c r="A35" t="s">
        <v>143</v>
      </c>
      <c r="B35" s="12">
        <f>INDEX('Raw Data for ERP Import'!$B:$B,MATCH(A35,'Raw Data for ERP Import'!$A:$A,0))</f>
        <v>1183.0455000000002</v>
      </c>
      <c r="C35" t="s">
        <v>144</v>
      </c>
      <c r="D35" t="s">
        <v>53</v>
      </c>
    </row>
    <row r="36" spans="1:4">
      <c r="A36" t="s">
        <v>145</v>
      </c>
      <c r="B36" s="12">
        <f>INDEX('Raw Data for ERP Import'!$B:$B,MATCH(A36,'Raw Data for ERP Import'!$A:$A,0))</f>
        <v>1677.8770312500001</v>
      </c>
      <c r="C36" t="s">
        <v>146</v>
      </c>
    </row>
    <row r="37" spans="1:4">
      <c r="A37" t="s">
        <v>56</v>
      </c>
      <c r="B37" s="12">
        <f>INDEX('Raw Data for ERP Import'!$B:$B,MATCH(A37,'Raw Data for ERP Import'!$A:$A,0))</f>
        <v>27.625326768000008</v>
      </c>
      <c r="C37" t="s">
        <v>57</v>
      </c>
    </row>
    <row r="38" spans="1:4">
      <c r="A38" t="s">
        <v>58</v>
      </c>
      <c r="B38" s="12">
        <f>INDEX('Raw Data for ERP Import'!$B:$B,MATCH(A38,'Raw Data for ERP Import'!$A:$A,0))</f>
        <v>27.625326768000008</v>
      </c>
      <c r="C38" t="s">
        <v>59</v>
      </c>
    </row>
    <row r="39" spans="1:4">
      <c r="A39" t="s">
        <v>60</v>
      </c>
      <c r="B39" s="12">
        <f>INDEX('Raw Data for ERP Import'!$B:$B,MATCH(A39,'Raw Data for ERP Import'!$A:$A,0))</f>
        <v>27.051569981280004</v>
      </c>
      <c r="C39" t="s">
        <v>147</v>
      </c>
    </row>
    <row r="40" spans="1:4">
      <c r="A40" t="s">
        <v>62</v>
      </c>
      <c r="B40" s="12">
        <f>INDEX('Raw Data for ERP Import'!$B:$B,MATCH(A40,'Raw Data for ERP Import'!$A:$A,0))</f>
        <v>33.816587501736002</v>
      </c>
      <c r="C40" t="s">
        <v>148</v>
      </c>
    </row>
    <row r="41" spans="1:4">
      <c r="A41" t="s">
        <v>64</v>
      </c>
      <c r="B41" s="12">
        <f>INDEX('Raw Data for ERP Import'!$B:$B,MATCH(A41,'Raw Data for ERP Import'!$A:$A,0))</f>
        <v>27.593451390960002</v>
      </c>
      <c r="C41" t="s">
        <v>65</v>
      </c>
    </row>
    <row r="42" spans="1:4">
      <c r="A42" t="s">
        <v>66</v>
      </c>
      <c r="B42" s="19">
        <v>17.55</v>
      </c>
      <c r="C42" t="s">
        <v>67</v>
      </c>
    </row>
    <row r="43" spans="1:4">
      <c r="A43" t="s">
        <v>68</v>
      </c>
      <c r="B43" s="19">
        <v>17.55</v>
      </c>
      <c r="C43" t="s">
        <v>69</v>
      </c>
    </row>
    <row r="44" spans="1:4">
      <c r="B44" s="7"/>
      <c r="C44" s="7"/>
    </row>
  </sheetData>
  <mergeCells count="2">
    <mergeCell ref="B5:D5"/>
    <mergeCell ref="D3:E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157A-0C92-48AF-A7DA-ECBD8B2E86EF}">
  <dimension ref="A2:F20"/>
  <sheetViews>
    <sheetView workbookViewId="0">
      <selection activeCell="D27" sqref="D27"/>
    </sheetView>
  </sheetViews>
  <sheetFormatPr defaultRowHeight="14.45"/>
  <cols>
    <col min="1" max="1" width="16.5703125" bestFit="1" customWidth="1"/>
    <col min="2" max="2" width="22" customWidth="1"/>
    <col min="3" max="3" width="10.5703125" customWidth="1"/>
    <col min="5" max="5" width="56" customWidth="1"/>
  </cols>
  <sheetData>
    <row r="2" spans="1:6">
      <c r="E2" s="2" t="s">
        <v>149</v>
      </c>
    </row>
    <row r="3" spans="1:6" ht="111.75" customHeight="1">
      <c r="E3" s="11" t="s">
        <v>150</v>
      </c>
    </row>
    <row r="5" spans="1:6">
      <c r="A5" s="2" t="s">
        <v>151</v>
      </c>
      <c r="B5" t="s">
        <v>152</v>
      </c>
    </row>
    <row r="6" spans="1:6">
      <c r="A6" t="s">
        <v>5</v>
      </c>
      <c r="B6" t="s">
        <v>6</v>
      </c>
      <c r="C6" t="s">
        <v>7</v>
      </c>
    </row>
    <row r="7" spans="1:6">
      <c r="A7" t="s">
        <v>153</v>
      </c>
      <c r="B7" s="12">
        <f>INDEX('Raw Data for ERP Import'!$B:$B,MATCH(A7,'Raw Data for ERP Import'!$A:$A,0))</f>
        <v>10775.466158400002</v>
      </c>
      <c r="C7" t="s">
        <v>154</v>
      </c>
    </row>
    <row r="8" spans="1:6">
      <c r="B8" s="13"/>
    </row>
    <row r="9" spans="1:6">
      <c r="A9" s="2" t="s">
        <v>26</v>
      </c>
      <c r="B9" s="13"/>
    </row>
    <row r="10" spans="1:6">
      <c r="A10" t="s">
        <v>5</v>
      </c>
      <c r="B10" s="13"/>
      <c r="C10" t="s">
        <v>7</v>
      </c>
    </row>
    <row r="11" spans="1:6">
      <c r="A11" s="15" t="s">
        <v>37</v>
      </c>
      <c r="B11" s="16"/>
      <c r="C11" s="15" t="s">
        <v>38</v>
      </c>
      <c r="D11" s="15"/>
      <c r="E11" s="15"/>
      <c r="F11" s="15" t="s">
        <v>39</v>
      </c>
    </row>
    <row r="12" spans="1:6">
      <c r="A12" s="8" t="s">
        <v>44</v>
      </c>
      <c r="B12" s="19">
        <v>1235</v>
      </c>
      <c r="C12" s="8" t="s">
        <v>45</v>
      </c>
      <c r="D12" s="8"/>
      <c r="E12" s="8"/>
      <c r="F12" s="15"/>
    </row>
    <row r="13" spans="1:6">
      <c r="A13" s="8" t="s">
        <v>101</v>
      </c>
      <c r="B13" s="19">
        <v>975</v>
      </c>
      <c r="C13" s="8" t="s">
        <v>102</v>
      </c>
      <c r="D13" s="8"/>
      <c r="E13" s="8"/>
      <c r="F13" s="15"/>
    </row>
    <row r="14" spans="1:6">
      <c r="B14" s="13"/>
    </row>
    <row r="15" spans="1:6">
      <c r="A15" s="2" t="s">
        <v>46</v>
      </c>
      <c r="B15" s="13"/>
    </row>
    <row r="16" spans="1:6">
      <c r="A16" t="s">
        <v>5</v>
      </c>
      <c r="B16" s="13"/>
      <c r="C16" t="s">
        <v>7</v>
      </c>
    </row>
    <row r="17" spans="1:3">
      <c r="A17" t="s">
        <v>56</v>
      </c>
      <c r="B17" s="12">
        <f>INDEX('Raw Data for ERP Import'!$B:$B,MATCH(A17,'Raw Data for ERP Import'!$A:$A,0))</f>
        <v>27.625326768000008</v>
      </c>
      <c r="C17" t="s">
        <v>57</v>
      </c>
    </row>
    <row r="18" spans="1:3">
      <c r="A18" t="s">
        <v>58</v>
      </c>
      <c r="B18" s="12">
        <f>INDEX('Raw Data for ERP Import'!$B:$B,MATCH(A18,'Raw Data for ERP Import'!$A:$A,0))</f>
        <v>27.625326768000008</v>
      </c>
      <c r="C18" t="s">
        <v>59</v>
      </c>
    </row>
    <row r="19" spans="1:3">
      <c r="A19" t="s">
        <v>66</v>
      </c>
      <c r="B19" s="19">
        <v>17.55</v>
      </c>
      <c r="C19" t="s">
        <v>67</v>
      </c>
    </row>
    <row r="20" spans="1:3">
      <c r="A20" t="s">
        <v>68</v>
      </c>
      <c r="B20" s="19">
        <v>17.55</v>
      </c>
      <c r="C20" t="s">
        <v>69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773A-4928-4F1B-A455-AFEE37EF8C1E}">
  <dimension ref="A2:E64"/>
  <sheetViews>
    <sheetView tabSelected="1" topLeftCell="A3" workbookViewId="0">
      <selection activeCell="A15" sqref="A15:XFD15"/>
    </sheetView>
  </sheetViews>
  <sheetFormatPr defaultRowHeight="14.45"/>
  <cols>
    <col min="1" max="1" width="17.5703125" bestFit="1" customWidth="1"/>
    <col min="2" max="2" width="12.5703125" bestFit="1" customWidth="1"/>
    <col min="3" max="3" width="12.5703125" customWidth="1"/>
    <col min="4" max="4" width="65" customWidth="1"/>
    <col min="6" max="6" width="11.5703125" bestFit="1" customWidth="1"/>
  </cols>
  <sheetData>
    <row r="2" spans="1:4">
      <c r="D2" s="2" t="s">
        <v>155</v>
      </c>
    </row>
    <row r="3" spans="1:4" ht="93" customHeight="1">
      <c r="D3" s="11" t="s">
        <v>156</v>
      </c>
    </row>
    <row r="5" spans="1:4" ht="47.25" customHeight="1">
      <c r="A5" s="3" t="s">
        <v>3</v>
      </c>
      <c r="B5" s="22" t="s">
        <v>157</v>
      </c>
      <c r="C5" s="22"/>
      <c r="D5" s="22"/>
    </row>
    <row r="6" spans="1:4">
      <c r="A6" t="s">
        <v>5</v>
      </c>
      <c r="B6" t="s">
        <v>6</v>
      </c>
      <c r="C6" t="s">
        <v>7</v>
      </c>
    </row>
    <row r="7" spans="1:4">
      <c r="A7" t="s">
        <v>158</v>
      </c>
      <c r="B7" s="12">
        <f>INDEX('Raw Data for ERP Import'!$B:$B,MATCH(A7,'Raw Data for ERP Import'!$A:$A,0))</f>
        <v>13903.818075000003</v>
      </c>
      <c r="C7" t="s">
        <v>159</v>
      </c>
    </row>
    <row r="8" spans="1:4">
      <c r="A8" t="s">
        <v>160</v>
      </c>
      <c r="B8" s="12">
        <f>INDEX('Raw Data for ERP Import'!$B:$B,MATCH(A8,'Raw Data for ERP Import'!$A:$A,0))</f>
        <v>15242.646399750003</v>
      </c>
      <c r="C8" t="s">
        <v>161</v>
      </c>
    </row>
    <row r="9" spans="1:4">
      <c r="A9" t="s">
        <v>162</v>
      </c>
      <c r="B9" s="12">
        <f>INDEX('Raw Data for ERP Import'!$B:$B,MATCH(A9,'Raw Data for ERP Import'!$A:$A,0))</f>
        <v>15242.646399750003</v>
      </c>
      <c r="C9" t="s">
        <v>163</v>
      </c>
    </row>
    <row r="10" spans="1:4">
      <c r="A10" t="s">
        <v>164</v>
      </c>
      <c r="B10" s="12">
        <f>INDEX('Raw Data for ERP Import'!$B:$B,MATCH(A10,'Raw Data for ERP Import'!$A:$A,0))</f>
        <v>15242.646399750003</v>
      </c>
      <c r="C10" t="s">
        <v>165</v>
      </c>
    </row>
    <row r="11" spans="1:4">
      <c r="A11" t="s">
        <v>166</v>
      </c>
      <c r="B11" s="12">
        <f>INDEX('Raw Data for ERP Import'!$B:$B,MATCH(A11,'Raw Data for ERP Import'!$A:$A,0))</f>
        <v>15242.646399750003</v>
      </c>
      <c r="C11" t="s">
        <v>167</v>
      </c>
    </row>
    <row r="12" spans="1:4">
      <c r="A12" t="s">
        <v>168</v>
      </c>
      <c r="B12" s="12">
        <f>INDEX('Raw Data for ERP Import'!$B:$B,MATCH(A12,'Raw Data for ERP Import'!$A:$A,0))</f>
        <v>15242.646399750003</v>
      </c>
      <c r="C12" t="s">
        <v>169</v>
      </c>
    </row>
    <row r="13" spans="1:4">
      <c r="B13" s="13"/>
    </row>
    <row r="14" spans="1:4">
      <c r="A14" s="2" t="s">
        <v>26</v>
      </c>
      <c r="B14" s="13"/>
    </row>
    <row r="15" spans="1:4">
      <c r="A15" t="s">
        <v>5</v>
      </c>
      <c r="B15" s="13"/>
      <c r="C15" t="s">
        <v>7</v>
      </c>
    </row>
    <row r="16" spans="1:4">
      <c r="A16" t="s">
        <v>118</v>
      </c>
      <c r="B16" s="12">
        <f>INDEX('Raw Data for ERP Import'!$B:$B,MATCH(A16,'Raw Data for ERP Import'!$A:$A,0))</f>
        <v>131.75155843200002</v>
      </c>
      <c r="C16" t="s">
        <v>119</v>
      </c>
    </row>
    <row r="17" spans="1:3">
      <c r="A17" t="s">
        <v>120</v>
      </c>
      <c r="B17" s="12">
        <f>INDEX('Raw Data for ERP Import'!$B:$B,MATCH(A17,'Raw Data for ERP Import'!$A:$A,0))</f>
        <v>1132.6590288</v>
      </c>
      <c r="C17" t="s">
        <v>121</v>
      </c>
    </row>
    <row r="18" spans="1:3">
      <c r="A18" t="s">
        <v>122</v>
      </c>
      <c r="B18" s="12">
        <f>INDEX('Raw Data for ERP Import'!$B:$B,MATCH(A18,'Raw Data for ERP Import'!$A:$A,0))</f>
        <v>476.00563046400009</v>
      </c>
      <c r="C18" t="s">
        <v>123</v>
      </c>
    </row>
    <row r="19" spans="1:3">
      <c r="A19" t="s">
        <v>124</v>
      </c>
      <c r="B19" s="12">
        <f>INDEX('Raw Data for ERP Import'!$B:$B,MATCH(A19,'Raw Data for ERP Import'!$A:$A,0))</f>
        <v>128.92162500000001</v>
      </c>
      <c r="C19" t="s">
        <v>125</v>
      </c>
    </row>
    <row r="20" spans="1:3">
      <c r="A20" t="s">
        <v>128</v>
      </c>
      <c r="B20" s="12">
        <f>INDEX('Raw Data for ERP Import'!$B:$B,MATCH(A20,'Raw Data for ERP Import'!$A:$A,0))</f>
        <v>155.12683492800002</v>
      </c>
      <c r="C20" t="s">
        <v>129</v>
      </c>
    </row>
    <row r="21" spans="1:3">
      <c r="A21" t="s">
        <v>130</v>
      </c>
      <c r="B21" s="12">
        <f>INDEX('Raw Data for ERP Import'!$B:$B,MATCH(A21,'Raw Data for ERP Import'!$A:$A,0))</f>
        <v>1300.5153832320002</v>
      </c>
      <c r="C21" t="s">
        <v>131</v>
      </c>
    </row>
    <row r="22" spans="1:3">
      <c r="A22" t="s">
        <v>170</v>
      </c>
      <c r="B22" s="12">
        <f>INDEX('Raw Data for ERP Import'!$B:$B,MATCH(A22,'Raw Data for ERP Import'!$A:$A,0))</f>
        <v>1096.512970176</v>
      </c>
      <c r="C22" t="s">
        <v>171</v>
      </c>
    </row>
    <row r="23" spans="1:3">
      <c r="A23" t="s">
        <v>172</v>
      </c>
      <c r="B23" s="12">
        <f>INDEX('Raw Data for ERP Import'!$B:$B,MATCH(A23,'Raw Data for ERP Import'!$A:$A,0))</f>
        <v>1776.4641562500001</v>
      </c>
      <c r="C23" t="s">
        <v>173</v>
      </c>
    </row>
    <row r="24" spans="1:3">
      <c r="A24" t="s">
        <v>174</v>
      </c>
      <c r="B24" s="12">
        <f>INDEX('Raw Data for ERP Import'!$B:$B,MATCH(A24,'Raw Data for ERP Import'!$A:$A,0))</f>
        <v>1296.7998750000002</v>
      </c>
      <c r="C24" t="s">
        <v>175</v>
      </c>
    </row>
    <row r="25" spans="1:3">
      <c r="A25" t="s">
        <v>176</v>
      </c>
      <c r="B25" s="12">
        <f>INDEX('Raw Data for ERP Import'!$B:$B,MATCH(A25,'Raw Data for ERP Import'!$A:$A,0))</f>
        <v>1738.5460312500002</v>
      </c>
      <c r="C25" t="s">
        <v>177</v>
      </c>
    </row>
    <row r="26" spans="1:3">
      <c r="A26" t="s">
        <v>178</v>
      </c>
      <c r="B26" s="12">
        <f>INDEX('Raw Data for ERP Import'!$B:$B,MATCH(A26,'Raw Data for ERP Import'!$A:$A,0))</f>
        <v>1738.5460312500002</v>
      </c>
      <c r="C26" t="s">
        <v>179</v>
      </c>
    </row>
    <row r="27" spans="1:3">
      <c r="A27" t="s">
        <v>180</v>
      </c>
      <c r="B27" s="13">
        <v>1861.6</v>
      </c>
      <c r="C27" t="s">
        <v>181</v>
      </c>
    </row>
    <row r="28" spans="1:3">
      <c r="A28" t="s">
        <v>182</v>
      </c>
      <c r="B28" s="19">
        <f>INDEX('Raw Data for ERP Import'!$B:$B,MATCH(A28,'Raw Data for ERP Import'!$A:$A,0))</f>
        <v>5107.05</v>
      </c>
      <c r="C28" t="s">
        <v>183</v>
      </c>
    </row>
    <row r="29" spans="1:3">
      <c r="A29" t="s">
        <v>184</v>
      </c>
      <c r="B29" s="19">
        <f>INDEX('Raw Data for ERP Import'!$B:$B,MATCH(A29,'Raw Data for ERP Import'!$A:$A,0))</f>
        <v>6609.1291875000006</v>
      </c>
      <c r="C29" t="s">
        <v>185</v>
      </c>
    </row>
    <row r="30" spans="1:3">
      <c r="A30" s="15" t="s">
        <v>186</v>
      </c>
      <c r="B30" s="18">
        <f>INDEX('Raw Data for ERP Import'!$B:$B,MATCH(A30,'Raw Data for ERP Import'!$A:$A,0))</f>
        <v>8992.35</v>
      </c>
      <c r="C30" s="15" t="s">
        <v>187</v>
      </c>
    </row>
    <row r="31" spans="1:3">
      <c r="A31" t="s">
        <v>188</v>
      </c>
      <c r="B31" s="19">
        <f>INDEX('Raw Data for ERP Import'!$B:$B,MATCH(A31,'Raw Data for ERP Import'!$A:$A,0))</f>
        <v>4303.8</v>
      </c>
      <c r="C31" t="s">
        <v>189</v>
      </c>
    </row>
    <row r="32" spans="1:3">
      <c r="A32" t="s">
        <v>190</v>
      </c>
      <c r="B32" s="13">
        <v>7074.6</v>
      </c>
      <c r="C32" t="s">
        <v>191</v>
      </c>
    </row>
    <row r="33" spans="1:5">
      <c r="A33" t="s">
        <v>192</v>
      </c>
      <c r="B33" s="13">
        <v>4917.9000000000005</v>
      </c>
      <c r="C33" t="s">
        <v>193</v>
      </c>
    </row>
    <row r="34" spans="1:5">
      <c r="A34" t="s">
        <v>194</v>
      </c>
      <c r="B34" s="13">
        <v>4144.4000000000005</v>
      </c>
      <c r="C34" t="s">
        <v>195</v>
      </c>
    </row>
    <row r="35" spans="1:5">
      <c r="A35" t="s">
        <v>196</v>
      </c>
      <c r="B35" s="13">
        <v>7074.6</v>
      </c>
      <c r="C35" t="s">
        <v>197</v>
      </c>
    </row>
    <row r="36" spans="1:5">
      <c r="A36" t="s">
        <v>198</v>
      </c>
      <c r="B36" s="13">
        <v>6867.9000000000005</v>
      </c>
      <c r="C36" t="s">
        <v>199</v>
      </c>
    </row>
    <row r="37" spans="1:5">
      <c r="A37" t="s">
        <v>200</v>
      </c>
      <c r="B37" s="19">
        <f>INDEX('Raw Data for ERP Import'!$B:$B,MATCH(A37,'Raw Data for ERP Import'!$A:$A,0))</f>
        <v>3034.8</v>
      </c>
      <c r="C37" t="s">
        <v>201</v>
      </c>
    </row>
    <row r="38" spans="1:5">
      <c r="A38" t="s">
        <v>202</v>
      </c>
      <c r="B38" s="19">
        <f>INDEX('Raw Data for ERP Import'!$B:$B,MATCH(A38,'Raw Data for ERP Import'!$A:$A,0))</f>
        <v>2326.9025239200009</v>
      </c>
      <c r="C38" t="s">
        <v>203</v>
      </c>
    </row>
    <row r="39" spans="1:5">
      <c r="A39" t="s">
        <v>204</v>
      </c>
      <c r="B39" s="13">
        <v>2922.4</v>
      </c>
      <c r="C39" t="s">
        <v>205</v>
      </c>
    </row>
    <row r="40" spans="1:5">
      <c r="A40" t="s">
        <v>206</v>
      </c>
      <c r="B40" s="13">
        <v>990.6</v>
      </c>
      <c r="C40" t="s">
        <v>207</v>
      </c>
    </row>
    <row r="41" spans="1:5">
      <c r="A41" t="s">
        <v>133</v>
      </c>
      <c r="B41" s="12">
        <f>INDEX('Raw Data for ERP Import'!$B:$B,MATCH(A41,'Raw Data for ERP Import'!$A:$A,0))</f>
        <v>28.890000000000004</v>
      </c>
      <c r="C41" t="s">
        <v>36</v>
      </c>
    </row>
    <row r="42" spans="1:5">
      <c r="A42" t="s">
        <v>208</v>
      </c>
      <c r="B42" s="12">
        <f>INDEX('Raw Data for ERP Import'!$B:$B,MATCH(A42,'Raw Data for ERP Import'!$A:$A,0))</f>
        <v>446.83200000000005</v>
      </c>
      <c r="C42" t="s">
        <v>209</v>
      </c>
    </row>
    <row r="43" spans="1:5">
      <c r="A43" s="15" t="s">
        <v>37</v>
      </c>
      <c r="B43" s="16"/>
      <c r="C43" s="15" t="s">
        <v>38</v>
      </c>
      <c r="D43" s="15"/>
      <c r="E43" s="15" t="s">
        <v>39</v>
      </c>
    </row>
    <row r="44" spans="1:5">
      <c r="A44" s="8" t="s">
        <v>44</v>
      </c>
      <c r="B44" s="19">
        <v>1235</v>
      </c>
      <c r="C44" s="8" t="s">
        <v>45</v>
      </c>
      <c r="D44" s="15"/>
      <c r="E44" s="15"/>
    </row>
    <row r="45" spans="1:5">
      <c r="A45" t="s">
        <v>134</v>
      </c>
      <c r="B45" s="12">
        <f>INDEX('Raw Data for ERP Import'!$B:$B,MATCH(A45,'Raw Data for ERP Import'!$A:$A,0))</f>
        <v>68.252625000000009</v>
      </c>
      <c r="C45" t="s">
        <v>135</v>
      </c>
    </row>
    <row r="46" spans="1:5">
      <c r="A46" t="s">
        <v>210</v>
      </c>
      <c r="B46" s="19">
        <v>283.39999999999998</v>
      </c>
      <c r="C46" t="s">
        <v>211</v>
      </c>
    </row>
    <row r="47" spans="1:5">
      <c r="A47" t="s">
        <v>212</v>
      </c>
      <c r="B47" s="19">
        <v>2242.5</v>
      </c>
      <c r="C47" t="s">
        <v>213</v>
      </c>
    </row>
    <row r="48" spans="1:5">
      <c r="A48" t="s">
        <v>101</v>
      </c>
      <c r="B48" s="19">
        <v>975</v>
      </c>
      <c r="C48" t="s">
        <v>214</v>
      </c>
    </row>
    <row r="49" spans="1:5">
      <c r="B49" s="13"/>
    </row>
    <row r="50" spans="1:5">
      <c r="A50" s="2" t="s">
        <v>46</v>
      </c>
      <c r="B50" s="13"/>
      <c r="E50" s="6"/>
    </row>
    <row r="51" spans="1:5">
      <c r="A51" t="s">
        <v>5</v>
      </c>
      <c r="B51" s="13"/>
      <c r="C51" t="s">
        <v>7</v>
      </c>
    </row>
    <row r="52" spans="1:5">
      <c r="A52" t="s">
        <v>215</v>
      </c>
      <c r="B52" s="12">
        <f>INDEX('Raw Data for ERP Import'!$B:$B,MATCH(A52,'Raw Data for ERP Import'!$A:$A,0))</f>
        <v>8861.4658125000005</v>
      </c>
      <c r="C52" t="s">
        <v>216</v>
      </c>
      <c r="D52" t="s">
        <v>53</v>
      </c>
    </row>
    <row r="53" spans="1:5">
      <c r="A53" t="s">
        <v>136</v>
      </c>
      <c r="B53" s="12">
        <f>INDEX('Raw Data for ERP Import'!$B:$B,MATCH(A53,'Raw Data for ERP Import'!$A:$A,0))</f>
        <v>5308.5375000000013</v>
      </c>
      <c r="C53" t="s">
        <v>137</v>
      </c>
      <c r="D53" t="s">
        <v>53</v>
      </c>
    </row>
    <row r="54" spans="1:5">
      <c r="A54" t="s">
        <v>51</v>
      </c>
      <c r="B54" s="12">
        <f>INDEX('Raw Data for ERP Import'!$B:$B,MATCH(A54,'Raw Data for ERP Import'!$A:$A,0))</f>
        <v>853.15781250000009</v>
      </c>
      <c r="C54" t="s">
        <v>140</v>
      </c>
      <c r="D54" t="s">
        <v>53</v>
      </c>
    </row>
    <row r="55" spans="1:5">
      <c r="A55" t="s">
        <v>141</v>
      </c>
      <c r="B55" s="12">
        <f>INDEX('Raw Data for ERP Import'!$B:$B,MATCH(A55,'Raw Data for ERP Import'!$A:$A,0))</f>
        <v>1509.1413750000004</v>
      </c>
      <c r="C55" t="s">
        <v>142</v>
      </c>
      <c r="D55" t="s">
        <v>53</v>
      </c>
    </row>
    <row r="56" spans="1:5">
      <c r="A56" t="s">
        <v>143</v>
      </c>
      <c r="B56" s="12">
        <f>INDEX('Raw Data for ERP Import'!$B:$B,MATCH(A56,'Raw Data for ERP Import'!$A:$A,0))</f>
        <v>1183.0455000000002</v>
      </c>
      <c r="C56" t="s">
        <v>144</v>
      </c>
    </row>
    <row r="57" spans="1:5">
      <c r="A57" t="s">
        <v>145</v>
      </c>
      <c r="B57" s="12">
        <f>INDEX('Raw Data for ERP Import'!$B:$B,MATCH(A57,'Raw Data for ERP Import'!$A:$A,0))</f>
        <v>1677.8770312500001</v>
      </c>
      <c r="C57" t="s">
        <v>146</v>
      </c>
    </row>
    <row r="58" spans="1:5">
      <c r="A58" t="s">
        <v>56</v>
      </c>
      <c r="B58" s="12">
        <f>INDEX('Raw Data for ERP Import'!$B:$B,MATCH(A58,'Raw Data for ERP Import'!$A:$A,0))</f>
        <v>27.625326768000008</v>
      </c>
      <c r="C58" t="s">
        <v>57</v>
      </c>
    </row>
    <row r="59" spans="1:5">
      <c r="A59" t="s">
        <v>58</v>
      </c>
      <c r="B59" s="12">
        <f>INDEX('Raw Data for ERP Import'!$B:$B,MATCH(A59,'Raw Data for ERP Import'!$A:$A,0))</f>
        <v>27.625326768000008</v>
      </c>
      <c r="C59" t="s">
        <v>59</v>
      </c>
    </row>
    <row r="60" spans="1:5">
      <c r="A60" t="s">
        <v>60</v>
      </c>
      <c r="B60" s="12">
        <f>INDEX('Raw Data for ERP Import'!$B:$B,MATCH(A60,'Raw Data for ERP Import'!$A:$A,0))</f>
        <v>27.051569981280004</v>
      </c>
      <c r="C60" t="s">
        <v>147</v>
      </c>
    </row>
    <row r="61" spans="1:5">
      <c r="A61" t="s">
        <v>62</v>
      </c>
      <c r="B61" s="12">
        <f>INDEX('Raw Data for ERP Import'!$B:$B,MATCH(A61,'Raw Data for ERP Import'!$A:$A,0))</f>
        <v>33.816587501736002</v>
      </c>
      <c r="C61" t="s">
        <v>148</v>
      </c>
    </row>
    <row r="62" spans="1:5">
      <c r="A62" t="s">
        <v>64</v>
      </c>
      <c r="B62" s="12">
        <f>INDEX('Raw Data for ERP Import'!$B:$B,MATCH(A62,'Raw Data for ERP Import'!$A:$A,0))</f>
        <v>27.593451390960002</v>
      </c>
      <c r="C62" t="s">
        <v>65</v>
      </c>
    </row>
    <row r="63" spans="1:5">
      <c r="A63" t="s">
        <v>66</v>
      </c>
      <c r="B63" s="19">
        <v>17.55</v>
      </c>
      <c r="C63" t="s">
        <v>67</v>
      </c>
    </row>
    <row r="64" spans="1:5">
      <c r="A64" t="s">
        <v>68</v>
      </c>
      <c r="B64" s="19">
        <v>17.55</v>
      </c>
      <c r="C64" t="s">
        <v>69</v>
      </c>
    </row>
  </sheetData>
  <autoFilter ref="A15:E15" xr:uid="{C7EC773A-4928-4F1B-A455-AFEE37EF8C1E}"/>
  <mergeCells count="1">
    <mergeCell ref="B5:D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4E16-335C-458B-882B-FC995E53668B}">
  <dimension ref="A2:E64"/>
  <sheetViews>
    <sheetView topLeftCell="A3" workbookViewId="0">
      <selection activeCell="D14" sqref="D14"/>
    </sheetView>
  </sheetViews>
  <sheetFormatPr defaultRowHeight="14.45"/>
  <cols>
    <col min="1" max="1" width="20.5703125" bestFit="1" customWidth="1"/>
    <col min="2" max="3" width="11.85546875" customWidth="1"/>
    <col min="4" max="4" width="61.5703125" bestFit="1" customWidth="1"/>
  </cols>
  <sheetData>
    <row r="2" spans="1:4">
      <c r="D2" s="2" t="s">
        <v>217</v>
      </c>
    </row>
    <row r="3" spans="1:4" ht="130.5" customHeight="1">
      <c r="D3" s="11" t="s">
        <v>218</v>
      </c>
    </row>
    <row r="5" spans="1:4" ht="33.75" customHeight="1">
      <c r="A5" s="3" t="s">
        <v>3</v>
      </c>
      <c r="B5" s="22" t="s">
        <v>219</v>
      </c>
      <c r="C5" s="22"/>
      <c r="D5" s="22"/>
    </row>
    <row r="6" spans="1:4">
      <c r="A6" t="s">
        <v>5</v>
      </c>
      <c r="B6" t="s">
        <v>6</v>
      </c>
      <c r="C6" t="s">
        <v>7</v>
      </c>
    </row>
    <row r="7" spans="1:4">
      <c r="A7" t="s">
        <v>220</v>
      </c>
      <c r="B7" s="12">
        <f>INDEX('Raw Data for ERP Import'!$B:$B,MATCH(A7,'Raw Data for ERP Import'!$A:$A,0))</f>
        <v>27060.269906250003</v>
      </c>
      <c r="C7" t="s">
        <v>221</v>
      </c>
    </row>
    <row r="8" spans="1:4">
      <c r="A8" t="s">
        <v>222</v>
      </c>
      <c r="B8" s="12">
        <f>INDEX('Raw Data for ERP Import'!$B:$B,MATCH(A8,'Raw Data for ERP Import'!$A:$A,0))</f>
        <v>27060.269906250003</v>
      </c>
      <c r="C8" t="s">
        <v>223</v>
      </c>
    </row>
    <row r="9" spans="1:4">
      <c r="A9" t="s">
        <v>224</v>
      </c>
      <c r="B9" s="12">
        <f>INDEX('Raw Data for ERP Import'!$B:$B,MATCH(A9,'Raw Data for ERP Import'!$A:$A,0))</f>
        <v>29056.659187500005</v>
      </c>
      <c r="C9" t="s">
        <v>225</v>
      </c>
    </row>
    <row r="10" spans="1:4">
      <c r="A10" t="s">
        <v>226</v>
      </c>
      <c r="B10" s="12">
        <f>INDEX('Raw Data for ERP Import'!$B:$B,MATCH(A10,'Raw Data for ERP Import'!$A:$A,0))</f>
        <v>29056.659187500005</v>
      </c>
      <c r="C10" t="s">
        <v>227</v>
      </c>
    </row>
    <row r="11" spans="1:4">
      <c r="B11" s="13"/>
    </row>
    <row r="12" spans="1:4">
      <c r="A12" s="2" t="s">
        <v>26</v>
      </c>
      <c r="B12" s="13"/>
    </row>
    <row r="13" spans="1:4">
      <c r="A13" t="s">
        <v>5</v>
      </c>
      <c r="B13" s="13"/>
      <c r="C13" t="s">
        <v>7</v>
      </c>
    </row>
    <row r="14" spans="1:4">
      <c r="A14" t="s">
        <v>51</v>
      </c>
      <c r="B14" s="12">
        <f>INDEX('Raw Data for ERP Import'!$B:$B,MATCH(A14,'Raw Data for ERP Import'!$A:$A,0))</f>
        <v>853.15781250000009</v>
      </c>
      <c r="C14" t="s">
        <v>140</v>
      </c>
      <c r="D14" t="s">
        <v>53</v>
      </c>
    </row>
    <row r="15" spans="1:4">
      <c r="A15" t="s">
        <v>141</v>
      </c>
      <c r="B15" s="12">
        <f>INDEX('Raw Data for ERP Import'!$B:$B,MATCH(A15,'Raw Data for ERP Import'!$A:$A,0))</f>
        <v>1509.1413750000004</v>
      </c>
      <c r="C15" t="s">
        <v>142</v>
      </c>
      <c r="D15" t="s">
        <v>53</v>
      </c>
    </row>
    <row r="16" spans="1:4">
      <c r="A16" t="s">
        <v>143</v>
      </c>
      <c r="B16" s="12">
        <f>INDEX('Raw Data for ERP Import'!$B:$B,MATCH(A16,'Raw Data for ERP Import'!$A:$A,0))</f>
        <v>1183.0455000000002</v>
      </c>
      <c r="C16" t="s">
        <v>144</v>
      </c>
      <c r="D16" t="s">
        <v>53</v>
      </c>
    </row>
    <row r="17" spans="1:4">
      <c r="A17" t="s">
        <v>145</v>
      </c>
      <c r="B17" s="12">
        <f>INDEX('Raw Data for ERP Import'!$B:$B,MATCH(A17,'Raw Data for ERP Import'!$A:$A,0))</f>
        <v>1677.8770312500001</v>
      </c>
      <c r="C17" t="s">
        <v>146</v>
      </c>
      <c r="D17" t="s">
        <v>53</v>
      </c>
    </row>
    <row r="18" spans="1:4">
      <c r="A18" t="s">
        <v>118</v>
      </c>
      <c r="B18" s="12">
        <f>INDEX('Raw Data for ERP Import'!$B:$B,MATCH(A18,'Raw Data for ERP Import'!$A:$A,0))</f>
        <v>131.75155843200002</v>
      </c>
      <c r="C18" t="s">
        <v>119</v>
      </c>
    </row>
    <row r="19" spans="1:4">
      <c r="A19" t="s">
        <v>120</v>
      </c>
      <c r="B19" s="12">
        <f>INDEX('Raw Data for ERP Import'!$B:$B,MATCH(A19,'Raw Data for ERP Import'!$A:$A,0))</f>
        <v>1132.6590288</v>
      </c>
      <c r="C19" t="s">
        <v>121</v>
      </c>
    </row>
    <row r="20" spans="1:4">
      <c r="A20" t="s">
        <v>124</v>
      </c>
      <c r="B20" s="12">
        <f>INDEX('Raw Data for ERP Import'!$B:$B,MATCH(A20,'Raw Data for ERP Import'!$A:$A,0))</f>
        <v>128.92162500000001</v>
      </c>
      <c r="C20" t="s">
        <v>125</v>
      </c>
    </row>
    <row r="21" spans="1:4">
      <c r="A21" t="s">
        <v>122</v>
      </c>
      <c r="B21" s="12">
        <f>INDEX('Raw Data for ERP Import'!$B:$B,MATCH(A21,'Raw Data for ERP Import'!$A:$A,0))</f>
        <v>476.00563046400009</v>
      </c>
      <c r="C21" t="s">
        <v>123</v>
      </c>
    </row>
    <row r="22" spans="1:4">
      <c r="A22" t="s">
        <v>128</v>
      </c>
      <c r="B22" s="12">
        <f>INDEX('Raw Data for ERP Import'!$B:$B,MATCH(A22,'Raw Data for ERP Import'!$A:$A,0))</f>
        <v>155.12683492800002</v>
      </c>
      <c r="C22" t="s">
        <v>129</v>
      </c>
    </row>
    <row r="23" spans="1:4">
      <c r="A23" t="s">
        <v>130</v>
      </c>
      <c r="B23" s="12">
        <f>INDEX('Raw Data for ERP Import'!$B:$B,MATCH(A23,'Raw Data for ERP Import'!$A:$A,0))</f>
        <v>1300.5153832320002</v>
      </c>
      <c r="C23" t="s">
        <v>131</v>
      </c>
    </row>
    <row r="24" spans="1:4">
      <c r="A24" t="s">
        <v>182</v>
      </c>
      <c r="B24" s="12">
        <f>INDEX('Raw Data for ERP Import'!$B:$B,MATCH(A24,'Raw Data for ERP Import'!$A:$A,0))</f>
        <v>5107.05</v>
      </c>
      <c r="C24" t="s">
        <v>228</v>
      </c>
    </row>
    <row r="25" spans="1:4">
      <c r="A25" t="s">
        <v>184</v>
      </c>
      <c r="B25" s="12">
        <f>INDEX('Raw Data for ERP Import'!$B:$B,MATCH(A25,'Raw Data for ERP Import'!$A:$A,0))</f>
        <v>6609.1291875000006</v>
      </c>
      <c r="C25" t="s">
        <v>229</v>
      </c>
    </row>
    <row r="26" spans="1:4">
      <c r="A26" s="15" t="s">
        <v>186</v>
      </c>
      <c r="B26" s="16">
        <f>INDEX('Raw Data for ERP Import'!$B:$B,MATCH(A26,'Raw Data for ERP Import'!$A:$A,0))</f>
        <v>8992.35</v>
      </c>
      <c r="C26" s="15" t="s">
        <v>187</v>
      </c>
    </row>
    <row r="27" spans="1:4">
      <c r="A27" t="s">
        <v>188</v>
      </c>
      <c r="B27" s="12">
        <f>INDEX('Raw Data for ERP Import'!$B:$B,MATCH(A27,'Raw Data for ERP Import'!$A:$A,0))</f>
        <v>4303.8</v>
      </c>
      <c r="C27" t="s">
        <v>230</v>
      </c>
    </row>
    <row r="28" spans="1:4">
      <c r="A28" t="s">
        <v>190</v>
      </c>
      <c r="B28" s="13">
        <v>7074.6</v>
      </c>
      <c r="C28" t="s">
        <v>191</v>
      </c>
    </row>
    <row r="29" spans="1:4">
      <c r="A29" t="s">
        <v>192</v>
      </c>
      <c r="B29" s="13">
        <v>4917.9000000000005</v>
      </c>
      <c r="C29" t="s">
        <v>193</v>
      </c>
    </row>
    <row r="30" spans="1:4">
      <c r="A30" t="s">
        <v>194</v>
      </c>
      <c r="B30" s="13">
        <v>4144.4000000000005</v>
      </c>
      <c r="C30" t="s">
        <v>195</v>
      </c>
    </row>
    <row r="31" spans="1:4">
      <c r="A31" t="s">
        <v>196</v>
      </c>
      <c r="B31" s="13">
        <v>7074.6</v>
      </c>
      <c r="C31" t="s">
        <v>197</v>
      </c>
    </row>
    <row r="32" spans="1:4">
      <c r="A32" t="s">
        <v>198</v>
      </c>
      <c r="B32" s="13">
        <v>6867.9000000000005</v>
      </c>
      <c r="C32" t="s">
        <v>199</v>
      </c>
    </row>
    <row r="33" spans="1:4">
      <c r="A33" t="s">
        <v>200</v>
      </c>
      <c r="B33" s="19">
        <f>INDEX('Raw Data for ERP Import'!$B:$B,MATCH(A33,'Raw Data for ERP Import'!$A:$A,0))</f>
        <v>3034.8</v>
      </c>
      <c r="C33" t="s">
        <v>231</v>
      </c>
    </row>
    <row r="34" spans="1:4">
      <c r="A34" t="s">
        <v>202</v>
      </c>
      <c r="B34" s="19">
        <f>INDEX('Raw Data for ERP Import'!$B:$B,MATCH(A34,'Raw Data for ERP Import'!$A:$A,0))</f>
        <v>2326.9025239200009</v>
      </c>
      <c r="C34" t="s">
        <v>232</v>
      </c>
    </row>
    <row r="35" spans="1:4">
      <c r="A35" t="s">
        <v>204</v>
      </c>
      <c r="B35" s="13">
        <v>2922.4</v>
      </c>
      <c r="C35" t="s">
        <v>205</v>
      </c>
    </row>
    <row r="36" spans="1:4">
      <c r="A36" t="s">
        <v>206</v>
      </c>
      <c r="B36" s="13">
        <v>990.6</v>
      </c>
      <c r="C36" t="s">
        <v>207</v>
      </c>
    </row>
    <row r="37" spans="1:4">
      <c r="A37" t="s">
        <v>170</v>
      </c>
      <c r="B37" s="19">
        <f>INDEX('Raw Data for ERP Import'!$B:$B,MATCH(A37,'Raw Data for ERP Import'!$A:$A,0))</f>
        <v>1096.512970176</v>
      </c>
      <c r="C37" t="s">
        <v>171</v>
      </c>
    </row>
    <row r="38" spans="1:4">
      <c r="A38" t="s">
        <v>172</v>
      </c>
      <c r="B38" s="19">
        <f>INDEX('Raw Data for ERP Import'!$B:$B,MATCH(A38,'Raw Data for ERP Import'!$A:$A,0))</f>
        <v>1776.4641562500001</v>
      </c>
      <c r="C38" t="s">
        <v>173</v>
      </c>
    </row>
    <row r="39" spans="1:4">
      <c r="A39" t="s">
        <v>174</v>
      </c>
      <c r="B39" s="19">
        <f>INDEX('Raw Data for ERP Import'!$B:$B,MATCH(A39,'Raw Data for ERP Import'!$A:$A,0))</f>
        <v>1296.7998750000002</v>
      </c>
      <c r="C39" t="s">
        <v>175</v>
      </c>
    </row>
    <row r="40" spans="1:4">
      <c r="A40" t="s">
        <v>176</v>
      </c>
      <c r="B40" s="19">
        <f>INDEX('Raw Data for ERP Import'!$B:$B,MATCH(A40,'Raw Data for ERP Import'!$A:$A,0))</f>
        <v>1738.5460312500002</v>
      </c>
      <c r="C40" t="s">
        <v>177</v>
      </c>
    </row>
    <row r="41" spans="1:4">
      <c r="A41" t="s">
        <v>178</v>
      </c>
      <c r="B41" s="19">
        <f>INDEX('Raw Data for ERP Import'!$B:$B,MATCH(A41,'Raw Data for ERP Import'!$A:$A,0))</f>
        <v>1738.5460312500002</v>
      </c>
      <c r="C41" t="s">
        <v>179</v>
      </c>
    </row>
    <row r="42" spans="1:4">
      <c r="A42" t="s">
        <v>180</v>
      </c>
      <c r="B42" s="13">
        <v>1861.6000000000001</v>
      </c>
      <c r="C42" t="s">
        <v>181</v>
      </c>
    </row>
    <row r="43" spans="1:4">
      <c r="A43" t="s">
        <v>233</v>
      </c>
      <c r="B43" s="12">
        <f>INDEX('Raw Data for ERP Import'!$B:$B,MATCH(A43,'Raw Data for ERP Import'!$A:$A,0))</f>
        <v>15682.685503680004</v>
      </c>
      <c r="C43" t="s">
        <v>234</v>
      </c>
    </row>
    <row r="44" spans="1:4">
      <c r="A44" t="s">
        <v>235</v>
      </c>
      <c r="B44" s="12">
        <f>INDEX('Raw Data for ERP Import'!$B:$B,MATCH(A44,'Raw Data for ERP Import'!$A:$A,0))</f>
        <v>8355.6813600000023</v>
      </c>
      <c r="C44" t="s">
        <v>236</v>
      </c>
    </row>
    <row r="45" spans="1:4">
      <c r="A45" t="s">
        <v>237</v>
      </c>
      <c r="B45" s="12">
        <f>INDEX('Raw Data for ERP Import'!$B:$B,MATCH(A45,'Raw Data for ERP Import'!$A:$A,0))</f>
        <v>8355.6813600000023</v>
      </c>
      <c r="C45" t="s">
        <v>238</v>
      </c>
    </row>
    <row r="46" spans="1:4">
      <c r="A46" t="s">
        <v>239</v>
      </c>
      <c r="B46" s="12">
        <f>INDEX('Raw Data for ERP Import'!$B:$B,MATCH(A46,'Raw Data for ERP Import'!$A:$A,0))</f>
        <v>8355.6813600000023</v>
      </c>
      <c r="C46" t="s">
        <v>240</v>
      </c>
    </row>
    <row r="47" spans="1:4">
      <c r="A47" t="s">
        <v>133</v>
      </c>
      <c r="B47" s="12">
        <f>INDEX('Raw Data for ERP Import'!$B:$B,MATCH(A47,'Raw Data for ERP Import'!$A:$A,0))</f>
        <v>28.890000000000004</v>
      </c>
      <c r="C47" t="s">
        <v>36</v>
      </c>
    </row>
    <row r="48" spans="1:4">
      <c r="A48" t="s">
        <v>208</v>
      </c>
      <c r="B48" s="12">
        <f>INDEX('Raw Data for ERP Import'!$B:$B,MATCH(A48,'Raw Data for ERP Import'!$A:$A,0))</f>
        <v>446.83200000000005</v>
      </c>
      <c r="C48" t="s">
        <v>209</v>
      </c>
      <c r="D48" s="15"/>
    </row>
    <row r="49" spans="1:5">
      <c r="A49" s="15" t="s">
        <v>37</v>
      </c>
      <c r="B49" s="18"/>
      <c r="C49" s="15" t="s">
        <v>38</v>
      </c>
      <c r="D49" s="8"/>
      <c r="E49" s="15" t="s">
        <v>241</v>
      </c>
    </row>
    <row r="50" spans="1:5">
      <c r="A50" s="8" t="s">
        <v>44</v>
      </c>
      <c r="B50" s="19">
        <v>1235</v>
      </c>
      <c r="C50" s="8" t="s">
        <v>45</v>
      </c>
      <c r="D50" s="8"/>
    </row>
    <row r="51" spans="1:5">
      <c r="A51" s="8" t="s">
        <v>134</v>
      </c>
      <c r="B51" s="14">
        <f>INDEX('Raw Data for ERP Import'!$B:$B,MATCH(A51,'Raw Data for ERP Import'!$A:$A,0))</f>
        <v>68.252625000000009</v>
      </c>
      <c r="C51" s="8" t="s">
        <v>135</v>
      </c>
    </row>
    <row r="52" spans="1:5">
      <c r="A52" t="s">
        <v>210</v>
      </c>
      <c r="B52" s="19">
        <v>283.39999999999998</v>
      </c>
      <c r="C52" t="s">
        <v>211</v>
      </c>
    </row>
    <row r="53" spans="1:5">
      <c r="A53" t="s">
        <v>212</v>
      </c>
      <c r="B53" s="19">
        <v>2242.5</v>
      </c>
      <c r="C53" t="s">
        <v>213</v>
      </c>
    </row>
    <row r="54" spans="1:5">
      <c r="A54" t="s">
        <v>101</v>
      </c>
      <c r="B54" s="19">
        <v>975</v>
      </c>
      <c r="C54" t="s">
        <v>214</v>
      </c>
    </row>
    <row r="55" spans="1:5">
      <c r="B55" s="13"/>
    </row>
    <row r="56" spans="1:5">
      <c r="A56" s="2" t="s">
        <v>46</v>
      </c>
      <c r="B56" s="13"/>
    </row>
    <row r="57" spans="1:5">
      <c r="A57" t="s">
        <v>5</v>
      </c>
      <c r="B57" s="13"/>
      <c r="C57" t="s">
        <v>7</v>
      </c>
    </row>
    <row r="58" spans="1:5">
      <c r="A58" t="s">
        <v>56</v>
      </c>
      <c r="B58" s="12">
        <f>INDEX('Raw Data for ERP Import'!$B:$B,MATCH(A58,'Raw Data for ERP Import'!$A:$A,0))</f>
        <v>27.625326768000008</v>
      </c>
      <c r="C58" t="s">
        <v>57</v>
      </c>
    </row>
    <row r="59" spans="1:5">
      <c r="A59" t="s">
        <v>58</v>
      </c>
      <c r="B59" s="12">
        <f>INDEX('Raw Data for ERP Import'!$B:$B,MATCH(A59,'Raw Data for ERP Import'!$A:$A,0))</f>
        <v>27.625326768000008</v>
      </c>
      <c r="C59" t="s">
        <v>59</v>
      </c>
    </row>
    <row r="60" spans="1:5">
      <c r="A60" t="s">
        <v>60</v>
      </c>
      <c r="B60" s="12">
        <f>INDEX('Raw Data for ERP Import'!$B:$B,MATCH(A60,'Raw Data for ERP Import'!$A:$A,0))</f>
        <v>27.051569981280004</v>
      </c>
      <c r="C60" t="s">
        <v>61</v>
      </c>
    </row>
    <row r="61" spans="1:5">
      <c r="A61" t="s">
        <v>62</v>
      </c>
      <c r="B61" s="12">
        <f>INDEX('Raw Data for ERP Import'!$B:$B,MATCH(A61,'Raw Data for ERP Import'!$A:$A,0))</f>
        <v>33.816587501736002</v>
      </c>
      <c r="C61" t="s">
        <v>63</v>
      </c>
    </row>
    <row r="62" spans="1:5">
      <c r="A62" t="s">
        <v>64</v>
      </c>
      <c r="B62" s="12">
        <f>INDEX('Raw Data for ERP Import'!$B:$B,MATCH(A62,'Raw Data for ERP Import'!$A:$A,0))</f>
        <v>27.593451390960002</v>
      </c>
      <c r="C62" t="s">
        <v>65</v>
      </c>
    </row>
    <row r="63" spans="1:5">
      <c r="A63" t="s">
        <v>66</v>
      </c>
      <c r="B63" s="19">
        <v>17.55</v>
      </c>
      <c r="C63" t="s">
        <v>67</v>
      </c>
    </row>
    <row r="64" spans="1:5">
      <c r="A64" t="s">
        <v>68</v>
      </c>
      <c r="B64" s="19">
        <v>17.55</v>
      </c>
      <c r="C64" t="s">
        <v>69</v>
      </c>
    </row>
  </sheetData>
  <mergeCells count="1">
    <mergeCell ref="B5:D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6868-BA0E-4F05-A595-EADE5221D567}">
  <dimension ref="A2:E57"/>
  <sheetViews>
    <sheetView topLeftCell="A6" zoomScaleNormal="100" workbookViewId="0">
      <selection activeCell="A11" sqref="A11"/>
    </sheetView>
  </sheetViews>
  <sheetFormatPr defaultRowHeight="14.45"/>
  <cols>
    <col min="1" max="1" width="20.5703125" bestFit="1" customWidth="1"/>
    <col min="2" max="3" width="12.5703125" customWidth="1"/>
    <col min="4" max="4" width="55" customWidth="1"/>
  </cols>
  <sheetData>
    <row r="2" spans="1:4">
      <c r="D2" s="2" t="s">
        <v>242</v>
      </c>
    </row>
    <row r="3" spans="1:4" ht="130.5">
      <c r="D3" s="11" t="s">
        <v>243</v>
      </c>
    </row>
    <row r="5" spans="1:4" ht="32.25" customHeight="1">
      <c r="A5" s="3" t="s">
        <v>3</v>
      </c>
      <c r="B5" s="22" t="s">
        <v>219</v>
      </c>
      <c r="C5" s="22"/>
      <c r="D5" s="22"/>
    </row>
    <row r="6" spans="1:4">
      <c r="A6" t="s">
        <v>5</v>
      </c>
      <c r="B6" t="s">
        <v>6</v>
      </c>
      <c r="C6" t="s">
        <v>7</v>
      </c>
    </row>
    <row r="7" spans="1:4">
      <c r="A7" t="s">
        <v>244</v>
      </c>
      <c r="B7" s="12">
        <f>INDEX('Raw Data for ERP Import'!$B:$B,MATCH(A7,'Raw Data for ERP Import'!$A:$A,0))</f>
        <v>21503.368687500002</v>
      </c>
      <c r="C7" t="s">
        <v>245</v>
      </c>
    </row>
    <row r="8" spans="1:4">
      <c r="A8" t="s">
        <v>246</v>
      </c>
      <c r="B8" s="12">
        <f>INDEX('Raw Data for ERP Import'!$B:$B,MATCH(A8,'Raw Data for ERP Import'!$A:$A,0))</f>
        <v>21503.368687500002</v>
      </c>
      <c r="C8" t="s">
        <v>247</v>
      </c>
    </row>
    <row r="9" spans="1:4">
      <c r="A9" t="s">
        <v>248</v>
      </c>
      <c r="B9" s="12">
        <f>INDEX('Raw Data for ERP Import'!$B:$B,MATCH(A9,'Raw Data for ERP Import'!$A:$A,0))</f>
        <v>21503.368687500002</v>
      </c>
      <c r="C9" t="s">
        <v>249</v>
      </c>
    </row>
    <row r="10" spans="1:4">
      <c r="A10" t="s">
        <v>250</v>
      </c>
      <c r="B10" s="12">
        <f>INDEX('Raw Data for ERP Import'!$B:$B,MATCH(A10,'Raw Data for ERP Import'!$A:$A,0))</f>
        <v>21503.368687500002</v>
      </c>
      <c r="C10" t="s">
        <v>251</v>
      </c>
    </row>
    <row r="11" spans="1:4">
      <c r="A11" t="s">
        <v>252</v>
      </c>
      <c r="B11" s="12">
        <f>INDEX('Raw Data for ERP Import'!$B:$B,MATCH(A11,'Raw Data for ERP Import'!$A:$A,0))</f>
        <v>22489.230457968755</v>
      </c>
      <c r="C11" t="s">
        <v>253</v>
      </c>
    </row>
    <row r="12" spans="1:4">
      <c r="A12" t="s">
        <v>254</v>
      </c>
      <c r="B12" s="12">
        <f>INDEX('Raw Data for ERP Import'!$B:$B,MATCH(A12,'Raw Data for ERP Import'!$A:$A,0))</f>
        <v>22489.230457968755</v>
      </c>
      <c r="C12" t="s">
        <v>255</v>
      </c>
    </row>
    <row r="13" spans="1:4">
      <c r="A13" t="s">
        <v>256</v>
      </c>
      <c r="B13" s="12">
        <f>INDEX('Raw Data for ERP Import'!$B:$B,MATCH(A13,'Raw Data for ERP Import'!$A:$A,0))</f>
        <v>22489.230457968755</v>
      </c>
      <c r="C13" t="s">
        <v>257</v>
      </c>
    </row>
    <row r="14" spans="1:4">
      <c r="A14" t="s">
        <v>258</v>
      </c>
      <c r="B14" s="12">
        <f>INDEX('Raw Data for ERP Import'!$B:$B,MATCH(A14,'Raw Data for ERP Import'!$A:$A,0))</f>
        <v>22489.230457968755</v>
      </c>
      <c r="C14" t="s">
        <v>259</v>
      </c>
    </row>
    <row r="15" spans="1:4">
      <c r="B15" s="13"/>
    </row>
    <row r="16" spans="1:4">
      <c r="A16" s="2" t="s">
        <v>26</v>
      </c>
      <c r="B16" s="13"/>
    </row>
    <row r="17" spans="1:3">
      <c r="A17" t="s">
        <v>5</v>
      </c>
      <c r="B17" s="13"/>
      <c r="C17" t="s">
        <v>7</v>
      </c>
    </row>
    <row r="18" spans="1:3">
      <c r="A18" t="s">
        <v>51</v>
      </c>
      <c r="B18" s="12">
        <f>INDEX('Raw Data for ERP Import'!$B:$B,MATCH(A18,'Raw Data for ERP Import'!$A:$A,0))</f>
        <v>853.15781250000009</v>
      </c>
      <c r="C18" t="s">
        <v>52</v>
      </c>
    </row>
    <row r="19" spans="1:3">
      <c r="A19" t="s">
        <v>260</v>
      </c>
      <c r="B19" s="12">
        <f>INDEX('Raw Data for ERP Import'!$B:$B,MATCH(A19,'Raw Data for ERP Import'!$A:$A,0))</f>
        <v>5107.05</v>
      </c>
      <c r="C19" t="s">
        <v>261</v>
      </c>
    </row>
    <row r="20" spans="1:3">
      <c r="A20" t="s">
        <v>262</v>
      </c>
      <c r="B20" s="12">
        <f>INDEX('Raw Data for ERP Import'!$B:$B,MATCH(A20,'Raw Data for ERP Import'!$A:$A,0))</f>
        <v>7628.8402382400018</v>
      </c>
      <c r="C20" t="s">
        <v>263</v>
      </c>
    </row>
    <row r="21" spans="1:3">
      <c r="A21" t="s">
        <v>264</v>
      </c>
      <c r="B21" s="12">
        <f>INDEX('Raw Data for ERP Import'!$B:$B,MATCH(A21,'Raw Data for ERP Import'!$A:$A,0))</f>
        <v>4303.8</v>
      </c>
      <c r="C21" t="s">
        <v>265</v>
      </c>
    </row>
    <row r="22" spans="1:3">
      <c r="A22" t="s">
        <v>266</v>
      </c>
      <c r="B22" s="13">
        <v>7074.6</v>
      </c>
      <c r="C22" t="s">
        <v>267</v>
      </c>
    </row>
    <row r="23" spans="1:3">
      <c r="A23" t="s">
        <v>268</v>
      </c>
      <c r="B23" s="13">
        <v>7074.6</v>
      </c>
      <c r="C23" t="s">
        <v>269</v>
      </c>
    </row>
    <row r="24" spans="1:3">
      <c r="A24" t="s">
        <v>270</v>
      </c>
      <c r="B24" s="13">
        <v>4917.9000000000005</v>
      </c>
      <c r="C24" t="s">
        <v>271</v>
      </c>
    </row>
    <row r="25" spans="1:3">
      <c r="A25" t="s">
        <v>272</v>
      </c>
      <c r="B25" s="13">
        <v>4144.4000000000005</v>
      </c>
      <c r="C25" t="s">
        <v>273</v>
      </c>
    </row>
    <row r="26" spans="1:3">
      <c r="A26" t="s">
        <v>274</v>
      </c>
      <c r="B26" s="19">
        <f>INDEX('Raw Data for ERP Import'!$B:$B,MATCH(A26,'Raw Data for ERP Import'!$A:$A,0))</f>
        <v>3151.4122766880009</v>
      </c>
      <c r="C26" t="s">
        <v>201</v>
      </c>
    </row>
    <row r="27" spans="1:3">
      <c r="A27" t="s">
        <v>275</v>
      </c>
      <c r="B27" s="19">
        <f>INDEX('Raw Data for ERP Import'!$B:$B,MATCH(A27,'Raw Data for ERP Import'!$A:$A,0))</f>
        <v>2326.9025239200009</v>
      </c>
      <c r="C27" t="s">
        <v>203</v>
      </c>
    </row>
    <row r="28" spans="1:3">
      <c r="A28" t="s">
        <v>276</v>
      </c>
      <c r="B28" s="13">
        <v>990.6</v>
      </c>
      <c r="C28" t="s">
        <v>207</v>
      </c>
    </row>
    <row r="29" spans="1:3">
      <c r="A29" t="s">
        <v>277</v>
      </c>
      <c r="B29" s="13">
        <v>2255.5</v>
      </c>
      <c r="C29" t="s">
        <v>205</v>
      </c>
    </row>
    <row r="30" spans="1:3">
      <c r="A30" t="s">
        <v>170</v>
      </c>
      <c r="B30" s="19">
        <f>INDEX('Raw Data for ERP Import'!$B:$B,MATCH(A30,'Raw Data for ERP Import'!$A:$A,0))</f>
        <v>1096.512970176</v>
      </c>
      <c r="C30" t="s">
        <v>171</v>
      </c>
    </row>
    <row r="31" spans="1:3">
      <c r="A31" t="s">
        <v>172</v>
      </c>
      <c r="B31" s="19">
        <f>INDEX('Raw Data for ERP Import'!$B:$B,MATCH(A31,'Raw Data for ERP Import'!$A:$A,0))</f>
        <v>1776.4641562500001</v>
      </c>
      <c r="C31" t="s">
        <v>173</v>
      </c>
    </row>
    <row r="32" spans="1:3">
      <c r="A32" t="s">
        <v>174</v>
      </c>
      <c r="B32" s="19">
        <f>INDEX('Raw Data for ERP Import'!$B:$B,MATCH(A32,'Raw Data for ERP Import'!$A:$A,0))</f>
        <v>1296.7998750000002</v>
      </c>
      <c r="C32" t="s">
        <v>175</v>
      </c>
    </row>
    <row r="33" spans="1:5">
      <c r="A33" t="s">
        <v>176</v>
      </c>
      <c r="B33" s="19">
        <f>INDEX('Raw Data for ERP Import'!$B:$B,MATCH(A33,'Raw Data for ERP Import'!$A:$A,0))</f>
        <v>1738.5460312500002</v>
      </c>
      <c r="C33" t="s">
        <v>177</v>
      </c>
    </row>
    <row r="34" spans="1:5">
      <c r="A34" t="s">
        <v>178</v>
      </c>
      <c r="B34" s="19">
        <f>INDEX('Raw Data for ERP Import'!$B:$B,MATCH(A34,'Raw Data for ERP Import'!$A:$A,0))</f>
        <v>1738.5460312500002</v>
      </c>
      <c r="C34" t="s">
        <v>179</v>
      </c>
    </row>
    <row r="35" spans="1:5">
      <c r="A35" t="s">
        <v>180</v>
      </c>
      <c r="B35" s="13">
        <v>1861.6000000000001</v>
      </c>
      <c r="C35" t="s">
        <v>181</v>
      </c>
    </row>
    <row r="36" spans="1:5">
      <c r="A36" t="s">
        <v>278</v>
      </c>
      <c r="B36" s="12">
        <f>INDEX('Raw Data for ERP Import'!$B:$B,MATCH(A36,'Raw Data for ERP Import'!$A:$A,0))</f>
        <v>131.75155843200002</v>
      </c>
      <c r="C36" t="s">
        <v>279</v>
      </c>
    </row>
    <row r="37" spans="1:5">
      <c r="A37" t="s">
        <v>31</v>
      </c>
      <c r="B37" s="12">
        <f>INDEX('Raw Data for ERP Import'!$B:$B,MATCH(A37,'Raw Data for ERP Import'!$A:$A,0))</f>
        <v>155.12683492800002</v>
      </c>
      <c r="C37" t="s">
        <v>32</v>
      </c>
    </row>
    <row r="38" spans="1:5">
      <c r="A38" t="s">
        <v>98</v>
      </c>
      <c r="B38" s="12">
        <f>INDEX('Raw Data for ERP Import'!$B:$B,MATCH(A38,'Raw Data for ERP Import'!$A:$A,0))</f>
        <v>811.75960195200014</v>
      </c>
      <c r="C38" t="s">
        <v>99</v>
      </c>
    </row>
    <row r="39" spans="1:5">
      <c r="A39" t="s">
        <v>124</v>
      </c>
      <c r="B39" s="12">
        <f>INDEX('Raw Data for ERP Import'!$B:$B,MATCH(A39,'Raw Data for ERP Import'!$A:$A,0))</f>
        <v>128.92162500000001</v>
      </c>
      <c r="C39" t="s">
        <v>125</v>
      </c>
    </row>
    <row r="40" spans="1:5">
      <c r="A40" t="s">
        <v>33</v>
      </c>
      <c r="B40" s="12">
        <f>INDEX('Raw Data for ERP Import'!$B:$B,MATCH(A40,'Raw Data for ERP Import'!$A:$A,0))</f>
        <v>454.7553791040001</v>
      </c>
      <c r="C40" t="s">
        <v>34</v>
      </c>
    </row>
    <row r="41" spans="1:5">
      <c r="A41" t="s">
        <v>35</v>
      </c>
      <c r="B41" s="12">
        <f>INDEX('Raw Data for ERP Import'!$B:$B,MATCH(A41,'Raw Data for ERP Import'!$A:$A,0))</f>
        <v>28.890000000000004</v>
      </c>
      <c r="C41" t="s">
        <v>36</v>
      </c>
    </row>
    <row r="42" spans="1:5">
      <c r="A42" s="15" t="s">
        <v>37</v>
      </c>
      <c r="B42" s="16"/>
      <c r="C42" s="15" t="s">
        <v>38</v>
      </c>
      <c r="D42" s="15"/>
      <c r="E42" s="15" t="s">
        <v>241</v>
      </c>
    </row>
    <row r="43" spans="1:5">
      <c r="A43" s="8" t="s">
        <v>44</v>
      </c>
      <c r="B43" s="19">
        <v>1235</v>
      </c>
      <c r="C43" s="8" t="s">
        <v>45</v>
      </c>
      <c r="D43" s="8"/>
      <c r="E43" s="15"/>
    </row>
    <row r="44" spans="1:5">
      <c r="A44" t="s">
        <v>280</v>
      </c>
      <c r="B44" s="12">
        <f>INDEX('Raw Data for ERP Import'!$B:$B,MATCH(A44,'Raw Data for ERP Import'!$A:$A,0))</f>
        <v>284.7533682240001</v>
      </c>
      <c r="C44" t="s">
        <v>281</v>
      </c>
    </row>
    <row r="45" spans="1:5">
      <c r="A45" t="s">
        <v>42</v>
      </c>
      <c r="B45" s="12">
        <f>INDEX('Raw Data for ERP Import'!$B:$B,MATCH(A45,'Raw Data for ERP Import'!$A:$A,0))</f>
        <v>57.635550000000002</v>
      </c>
      <c r="C45" t="s">
        <v>43</v>
      </c>
    </row>
    <row r="46" spans="1:5">
      <c r="A46" t="s">
        <v>212</v>
      </c>
      <c r="B46" s="19">
        <v>2242.5</v>
      </c>
      <c r="C46" t="s">
        <v>213</v>
      </c>
    </row>
    <row r="47" spans="1:5">
      <c r="A47" t="s">
        <v>101</v>
      </c>
      <c r="B47" s="19">
        <v>975</v>
      </c>
      <c r="C47" t="s">
        <v>214</v>
      </c>
    </row>
    <row r="48" spans="1:5">
      <c r="B48" s="13"/>
    </row>
    <row r="49" spans="1:3">
      <c r="A49" s="2" t="s">
        <v>46</v>
      </c>
      <c r="B49" s="13"/>
    </row>
    <row r="50" spans="1:3">
      <c r="A50" t="s">
        <v>5</v>
      </c>
      <c r="B50" s="13"/>
      <c r="C50" t="s">
        <v>7</v>
      </c>
    </row>
    <row r="51" spans="1:3">
      <c r="A51" t="s">
        <v>56</v>
      </c>
      <c r="B51" s="12">
        <f>INDEX('Raw Data for ERP Import'!$B:$B,MATCH(A51,'Raw Data for ERP Import'!$A:$A,0))</f>
        <v>27.625326768000008</v>
      </c>
      <c r="C51" t="s">
        <v>57</v>
      </c>
    </row>
    <row r="52" spans="1:3">
      <c r="A52" t="s">
        <v>58</v>
      </c>
      <c r="B52" s="12">
        <f>INDEX('Raw Data for ERP Import'!$B:$B,MATCH(A52,'Raw Data for ERP Import'!$A:$A,0))</f>
        <v>27.625326768000008</v>
      </c>
      <c r="C52" t="s">
        <v>59</v>
      </c>
    </row>
    <row r="53" spans="1:3">
      <c r="A53" t="s">
        <v>60</v>
      </c>
      <c r="B53" s="12">
        <f>INDEX('Raw Data for ERP Import'!$B:$B,MATCH(A53,'Raw Data for ERP Import'!$A:$A,0))</f>
        <v>27.051569981280004</v>
      </c>
      <c r="C53" t="s">
        <v>61</v>
      </c>
    </row>
    <row r="54" spans="1:3">
      <c r="A54" t="s">
        <v>62</v>
      </c>
      <c r="B54" s="12">
        <f>INDEX('Raw Data for ERP Import'!$B:$B,MATCH(A54,'Raw Data for ERP Import'!$A:$A,0))</f>
        <v>33.816587501736002</v>
      </c>
      <c r="C54" t="s">
        <v>63</v>
      </c>
    </row>
    <row r="55" spans="1:3">
      <c r="A55" t="s">
        <v>64</v>
      </c>
      <c r="B55" s="12">
        <f>INDEX('Raw Data for ERP Import'!$B:$B,MATCH(A55,'Raw Data for ERP Import'!$A:$A,0))</f>
        <v>27.593451390960002</v>
      </c>
      <c r="C55" t="s">
        <v>65</v>
      </c>
    </row>
    <row r="56" spans="1:3">
      <c r="A56" t="s">
        <v>66</v>
      </c>
      <c r="B56" s="19">
        <v>17.55</v>
      </c>
      <c r="C56" t="s">
        <v>67</v>
      </c>
    </row>
    <row r="57" spans="1:3">
      <c r="A57" t="s">
        <v>68</v>
      </c>
      <c r="B57" s="19">
        <v>17.55</v>
      </c>
      <c r="C57" t="s">
        <v>69</v>
      </c>
    </row>
  </sheetData>
  <mergeCells count="1">
    <mergeCell ref="B5:D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FB1D-7CBD-4921-B923-6B73E6746809}">
  <dimension ref="A1:D18"/>
  <sheetViews>
    <sheetView workbookViewId="0">
      <selection activeCell="H23" sqref="H23"/>
    </sheetView>
  </sheetViews>
  <sheetFormatPr defaultRowHeight="14.45"/>
  <cols>
    <col min="1" max="1" width="17.42578125" bestFit="1" customWidth="1"/>
    <col min="2" max="2" width="11.5703125" style="1" customWidth="1"/>
    <col min="3" max="3" width="47.140625" bestFit="1" customWidth="1"/>
  </cols>
  <sheetData>
    <row r="1" spans="1:4">
      <c r="A1" t="s">
        <v>5</v>
      </c>
      <c r="B1" t="s">
        <v>6</v>
      </c>
      <c r="C1" t="s">
        <v>7</v>
      </c>
    </row>
    <row r="2" spans="1:4">
      <c r="A2" t="s">
        <v>282</v>
      </c>
      <c r="B2" s="12">
        <f>INDEX('Raw Data for ERP Import'!$B:$B,MATCH(A2,'Raw Data for ERP Import'!$A:$A,0))</f>
        <v>524.88120859200012</v>
      </c>
      <c r="C2" t="s">
        <v>283</v>
      </c>
      <c r="D2" t="s">
        <v>284</v>
      </c>
    </row>
    <row r="3" spans="1:4">
      <c r="A3" t="s">
        <v>285</v>
      </c>
      <c r="B3" s="12">
        <f>INDEX('Raw Data for ERP Import'!$B:$B,MATCH(A3,'Raw Data for ERP Import'!$A:$A,0))</f>
        <v>539.75638454400018</v>
      </c>
      <c r="C3" t="s">
        <v>286</v>
      </c>
      <c r="D3" t="s">
        <v>287</v>
      </c>
    </row>
    <row r="4" spans="1:4">
      <c r="A4" t="s">
        <v>288</v>
      </c>
      <c r="B4" s="12">
        <f>INDEX('Raw Data for ERP Import'!$B:$B,MATCH(A4,'Raw Data for ERP Import'!$A:$A,0))</f>
        <v>1096.512970176</v>
      </c>
      <c r="C4" t="s">
        <v>289</v>
      </c>
      <c r="D4" t="s">
        <v>290</v>
      </c>
    </row>
    <row r="5" spans="1:4">
      <c r="A5" t="s">
        <v>291</v>
      </c>
      <c r="B5" s="12">
        <f>INDEX('Raw Data for ERP Import'!$B:$B,MATCH(A5,'Raw Data for ERP Import'!$A:$A,0))</f>
        <v>1096.512970176</v>
      </c>
      <c r="C5" t="s">
        <v>292</v>
      </c>
      <c r="D5" t="s">
        <v>293</v>
      </c>
    </row>
    <row r="6" spans="1:4">
      <c r="A6" t="s">
        <v>294</v>
      </c>
      <c r="B6" s="12">
        <f>INDEX('Raw Data for ERP Import'!$B:$B,MATCH(A6,'Raw Data for ERP Import'!$A:$A,0))</f>
        <v>1829.6466420960005</v>
      </c>
      <c r="C6" t="s">
        <v>295</v>
      </c>
      <c r="D6" t="s">
        <v>293</v>
      </c>
    </row>
    <row r="7" spans="1:4">
      <c r="A7" t="s">
        <v>296</v>
      </c>
      <c r="B7" s="12">
        <f>INDEX('Raw Data for ERP Import'!$B:$B,MATCH(A7,'Raw Data for ERP Import'!$A:$A,0))</f>
        <v>1402.5165897600004</v>
      </c>
      <c r="C7" t="s">
        <v>297</v>
      </c>
      <c r="D7" t="s">
        <v>293</v>
      </c>
    </row>
    <row r="8" spans="1:4">
      <c r="A8" t="s">
        <v>298</v>
      </c>
      <c r="B8" s="12">
        <f>INDEX('Raw Data for ERP Import'!$B:$B,MATCH(A8,'Raw Data for ERP Import'!$A:$A,0))</f>
        <v>1496.0176957440003</v>
      </c>
      <c r="C8" t="s">
        <v>299</v>
      </c>
      <c r="D8" t="s">
        <v>293</v>
      </c>
    </row>
    <row r="9" spans="1:4">
      <c r="A9" t="s">
        <v>300</v>
      </c>
      <c r="B9" s="12">
        <f>INDEX('Raw Data for ERP Import'!$B:$B,MATCH(A9,'Raw Data for ERP Import'!$A:$A,0))</f>
        <v>1496.0176957440003</v>
      </c>
      <c r="C9" t="s">
        <v>301</v>
      </c>
      <c r="D9" t="s">
        <v>293</v>
      </c>
    </row>
    <row r="10" spans="1:4">
      <c r="A10" t="s">
        <v>302</v>
      </c>
      <c r="B10" s="12">
        <f>INDEX('Raw Data for ERP Import'!$B:$B,MATCH(A10,'Raw Data for ERP Import'!$A:$A,0))</f>
        <v>1496.0176957440003</v>
      </c>
      <c r="C10" t="s">
        <v>303</v>
      </c>
      <c r="D10" t="s">
        <v>293</v>
      </c>
    </row>
    <row r="11" spans="1:4">
      <c r="A11" t="s">
        <v>304</v>
      </c>
      <c r="B11" s="12">
        <f>INDEX('Raw Data for ERP Import'!$B:$B,MATCH(A11,'Raw Data for ERP Import'!$A:$A,0))</f>
        <v>1496.0176957440003</v>
      </c>
      <c r="C11" t="s">
        <v>305</v>
      </c>
      <c r="D11" t="s">
        <v>293</v>
      </c>
    </row>
    <row r="12" spans="1:4">
      <c r="A12" t="s">
        <v>306</v>
      </c>
      <c r="B12" s="12">
        <f>INDEX('Raw Data for ERP Import'!$B:$B,MATCH(A12,'Raw Data for ERP Import'!$A:$A,0))</f>
        <v>1496.0176957440003</v>
      </c>
      <c r="C12" t="s">
        <v>307</v>
      </c>
      <c r="D12" t="s">
        <v>293</v>
      </c>
    </row>
    <row r="13" spans="1:4">
      <c r="A13" t="s">
        <v>308</v>
      </c>
      <c r="B13" s="12">
        <f>INDEX('Raw Data for ERP Import'!$B:$B,MATCH(A13,'Raw Data for ERP Import'!$A:$A,0))</f>
        <v>1496.0176957440003</v>
      </c>
      <c r="C13" t="s">
        <v>309</v>
      </c>
      <c r="D13" t="s">
        <v>293</v>
      </c>
    </row>
    <row r="14" spans="1:4">
      <c r="A14" t="s">
        <v>310</v>
      </c>
      <c r="B14" s="12">
        <f>INDEX('Raw Data for ERP Import'!$B:$B,MATCH(A14,'Raw Data for ERP Import'!$A:$A,0))</f>
        <v>367.62934852800004</v>
      </c>
      <c r="C14" t="s">
        <v>311</v>
      </c>
    </row>
    <row r="15" spans="1:4">
      <c r="A15" t="s">
        <v>312</v>
      </c>
      <c r="B15" s="12">
        <f>INDEX('Raw Data for ERP Import'!$B:$B,MATCH(A15,'Raw Data for ERP Import'!$A:$A,0))</f>
        <v>520.63115832000005</v>
      </c>
      <c r="C15" t="s">
        <v>313</v>
      </c>
    </row>
    <row r="16" spans="1:4">
      <c r="A16" t="s">
        <v>314</v>
      </c>
      <c r="B16" s="12">
        <f>INDEX('Raw Data for ERP Import'!$B:$B,MATCH(A16,'Raw Data for ERP Import'!$A:$A,0))</f>
        <v>597.13206321600023</v>
      </c>
      <c r="C16" t="s">
        <v>315</v>
      </c>
    </row>
    <row r="17" spans="1:3">
      <c r="A17" t="s">
        <v>124</v>
      </c>
      <c r="B17" s="12">
        <f>INDEX('Raw Data for ERP Import'!$B:$B,MATCH(A17,'Raw Data for ERP Import'!$A:$A,0))</f>
        <v>128.92162500000001</v>
      </c>
      <c r="C17" t="s">
        <v>125</v>
      </c>
    </row>
    <row r="18" spans="1:3">
      <c r="A18" t="s">
        <v>29</v>
      </c>
      <c r="B18" s="12">
        <f>INDEX('Raw Data for ERP Import'!$B:$B,MATCH(A18,'Raw Data for ERP Import'!$A:$A,0))</f>
        <v>103.13730000000002</v>
      </c>
      <c r="C18"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536D-C50E-49F2-A05E-6C426135FCB7}">
  <dimension ref="A1:C16"/>
  <sheetViews>
    <sheetView workbookViewId="0">
      <selection activeCell="K28" sqref="K28"/>
    </sheetView>
  </sheetViews>
  <sheetFormatPr defaultRowHeight="14.45"/>
  <cols>
    <col min="1" max="1" width="36.42578125" customWidth="1"/>
    <col min="2" max="2" width="67.85546875" customWidth="1"/>
    <col min="3" max="3" width="12" bestFit="1" customWidth="1"/>
  </cols>
  <sheetData>
    <row r="1" spans="1:3">
      <c r="A1" s="9" t="s">
        <v>316</v>
      </c>
    </row>
    <row r="2" spans="1:3">
      <c r="A2" s="9" t="s">
        <v>317</v>
      </c>
      <c r="B2" s="9" t="s">
        <v>7</v>
      </c>
      <c r="C2" s="9" t="s">
        <v>6</v>
      </c>
    </row>
    <row r="3" spans="1:3">
      <c r="A3" t="s">
        <v>318</v>
      </c>
      <c r="B3" t="s">
        <v>319</v>
      </c>
      <c r="C3" s="12">
        <f>INDEX('Raw Data for ERP Import'!$B:$B,MATCH(A3,'Raw Data for ERP Import'!$A:$A,0))</f>
        <v>12359.255441399999</v>
      </c>
    </row>
    <row r="4" spans="1:3">
      <c r="A4" t="s">
        <v>320</v>
      </c>
      <c r="B4" t="s">
        <v>321</v>
      </c>
      <c r="C4" s="12">
        <f>INDEX('Raw Data for ERP Import'!$B:$B,MATCH(A4,'Raw Data for ERP Import'!$A:$A,0))</f>
        <v>23367.209854274999</v>
      </c>
    </row>
    <row r="5" spans="1:3">
      <c r="A5" t="s">
        <v>322</v>
      </c>
      <c r="B5" t="s">
        <v>323</v>
      </c>
      <c r="C5" s="12">
        <f>INDEX('Raw Data for ERP Import'!$B:$B,MATCH(A5,'Raw Data for ERP Import'!$A:$A,0))</f>
        <v>29654.138874937496</v>
      </c>
    </row>
    <row r="6" spans="1:3">
      <c r="A6" t="s">
        <v>324</v>
      </c>
      <c r="B6" t="s">
        <v>325</v>
      </c>
      <c r="C6" s="12">
        <f>INDEX('Raw Data for ERP Import'!$B:$B,MATCH(A6,'Raw Data for ERP Import'!$A:$A,0))</f>
        <v>30013.5829825125</v>
      </c>
    </row>
    <row r="7" spans="1:3">
      <c r="A7" t="s">
        <v>326</v>
      </c>
      <c r="B7" t="s">
        <v>327</v>
      </c>
      <c r="C7" s="12">
        <f>INDEX('Raw Data for ERP Import'!$B:$B,MATCH(A7,'Raw Data for ERP Import'!$A:$A,0))</f>
        <v>16993.712237512504</v>
      </c>
    </row>
    <row r="8" spans="1:3">
      <c r="A8" t="s">
        <v>328</v>
      </c>
      <c r="B8" t="s">
        <v>329</v>
      </c>
      <c r="C8" s="12">
        <f>INDEX('Raw Data for ERP Import'!$B:$B,MATCH(A8,'Raw Data for ERP Import'!$A:$A,0))</f>
        <v>17353.156345087504</v>
      </c>
    </row>
    <row r="9" spans="1:3">
      <c r="A9" t="s">
        <v>330</v>
      </c>
      <c r="B9" t="s">
        <v>331</v>
      </c>
      <c r="C9" s="12">
        <f>INDEX('Raw Data for ERP Import'!$B:$B,MATCH(A9,'Raw Data for ERP Import'!$A:$A,0))</f>
        <v>32466.056995512001</v>
      </c>
    </row>
    <row r="10" spans="1:3">
      <c r="A10" t="s">
        <v>332</v>
      </c>
      <c r="B10" t="s">
        <v>333</v>
      </c>
      <c r="C10" s="12">
        <f>INDEX('Raw Data for ERP Import'!$B:$B,MATCH(A10,'Raw Data for ERP Import'!$A:$A,0))</f>
        <v>38553.428017125007</v>
      </c>
    </row>
    <row r="11" spans="1:3">
      <c r="A11" t="s">
        <v>334</v>
      </c>
      <c r="B11" t="s">
        <v>335</v>
      </c>
      <c r="C11" s="12">
        <f>INDEX('Raw Data for ERP Import'!$B:$B,MATCH(A11,'Raw Data for ERP Import'!$A:$A,0))</f>
        <v>38912.872124700007</v>
      </c>
    </row>
    <row r="12" spans="1:3">
      <c r="A12" t="s">
        <v>336</v>
      </c>
      <c r="B12" t="s">
        <v>337</v>
      </c>
      <c r="C12" s="12">
        <f>INDEX('Raw Data for ERP Import'!$B:$B,MATCH(A12,'Raw Data for ERP Import'!$A:$A,0))</f>
        <v>26729.651392272008</v>
      </c>
    </row>
    <row r="13" spans="1:3">
      <c r="A13" t="s">
        <v>338</v>
      </c>
      <c r="B13" t="s">
        <v>339</v>
      </c>
      <c r="C13" s="12">
        <f>INDEX('Raw Data for ERP Import'!$B:$B,MATCH(A13,'Raw Data for ERP Import'!$A:$A,0))</f>
        <v>26957.124183852004</v>
      </c>
    </row>
    <row r="14" spans="1:3">
      <c r="A14" t="s">
        <v>340</v>
      </c>
      <c r="B14" t="s">
        <v>341</v>
      </c>
      <c r="C14" s="12">
        <f>INDEX('Raw Data for ERP Import'!$B:$B,MATCH(A14,'Raw Data for ERP Import'!$A:$A,0))</f>
        <v>0</v>
      </c>
    </row>
    <row r="15" spans="1:3">
      <c r="A15" t="s">
        <v>342</v>
      </c>
      <c r="B15" t="s">
        <v>343</v>
      </c>
      <c r="C15" s="12">
        <f>INDEX('Raw Data for ERP Import'!$B:$B,MATCH(A15,'Raw Data for ERP Import'!$A:$A,0))</f>
        <v>5161.998355762501</v>
      </c>
    </row>
    <row r="16" spans="1:3">
      <c r="A16" s="8" t="s">
        <v>344</v>
      </c>
      <c r="B16" s="8" t="s">
        <v>345</v>
      </c>
      <c r="C16" s="12">
        <f>INDEX('Raw Data for ERP Import'!$B:$B,MATCH(A16,'Raw Data for ERP Import'!$A:$A,0))</f>
        <v>11015.117906128564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9AFF8-4020-40A9-AE28-AC2601AAE89E}">
  <dimension ref="A1:D192"/>
  <sheetViews>
    <sheetView topLeftCell="A94" workbookViewId="0">
      <selection activeCell="A105" sqref="A105"/>
    </sheetView>
  </sheetViews>
  <sheetFormatPr defaultRowHeight="14.45"/>
  <cols>
    <col min="1" max="1" width="29.140625" customWidth="1"/>
    <col min="2" max="2" width="19.42578125" style="1" customWidth="1"/>
    <col min="3" max="3" width="74" bestFit="1" customWidth="1"/>
  </cols>
  <sheetData>
    <row r="1" spans="1:4">
      <c r="A1" t="s">
        <v>5</v>
      </c>
      <c r="B1" s="1" t="s">
        <v>6</v>
      </c>
      <c r="C1" t="s">
        <v>7</v>
      </c>
    </row>
    <row r="2" spans="1:4">
      <c r="A2" t="s">
        <v>33</v>
      </c>
      <c r="B2" s="12">
        <v>454.7553791040001</v>
      </c>
      <c r="C2" t="s">
        <v>34</v>
      </c>
      <c r="D2" s="6"/>
    </row>
    <row r="3" spans="1:4">
      <c r="A3" t="s">
        <v>153</v>
      </c>
      <c r="B3" s="12">
        <v>10775.466158400002</v>
      </c>
      <c r="C3" t="s">
        <v>154</v>
      </c>
      <c r="D3" s="6"/>
    </row>
    <row r="4" spans="1:4">
      <c r="A4" t="s">
        <v>182</v>
      </c>
      <c r="B4" s="14">
        <v>5107.05</v>
      </c>
      <c r="C4" t="s">
        <v>183</v>
      </c>
      <c r="D4" s="6"/>
    </row>
    <row r="5" spans="1:4">
      <c r="A5" t="s">
        <v>184</v>
      </c>
      <c r="B5" s="14">
        <v>6609.1291875000006</v>
      </c>
      <c r="C5" t="s">
        <v>185</v>
      </c>
      <c r="D5" s="6"/>
    </row>
    <row r="6" spans="1:4">
      <c r="A6" t="s">
        <v>188</v>
      </c>
      <c r="B6" s="14">
        <v>4303.8</v>
      </c>
      <c r="C6" t="s">
        <v>189</v>
      </c>
      <c r="D6" s="6"/>
    </row>
    <row r="7" spans="1:4">
      <c r="A7" t="s">
        <v>200</v>
      </c>
      <c r="B7" s="14">
        <v>3034.8</v>
      </c>
      <c r="C7" t="s">
        <v>201</v>
      </c>
      <c r="D7" s="6"/>
    </row>
    <row r="8" spans="1:4">
      <c r="A8" t="s">
        <v>202</v>
      </c>
      <c r="B8" s="14">
        <v>2326.9025239200009</v>
      </c>
      <c r="C8" t="s">
        <v>203</v>
      </c>
      <c r="D8" s="6"/>
    </row>
    <row r="9" spans="1:4">
      <c r="A9" t="s">
        <v>260</v>
      </c>
      <c r="B9" s="14">
        <v>5107.05</v>
      </c>
      <c r="C9" t="s">
        <v>261</v>
      </c>
      <c r="D9" s="6"/>
    </row>
    <row r="10" spans="1:4">
      <c r="A10" t="s">
        <v>262</v>
      </c>
      <c r="B10" s="14">
        <v>7628.8402382400018</v>
      </c>
      <c r="C10" t="s">
        <v>263</v>
      </c>
      <c r="D10" s="6"/>
    </row>
    <row r="11" spans="1:4">
      <c r="A11" s="8" t="s">
        <v>186</v>
      </c>
      <c r="B11" s="14">
        <v>8992.35</v>
      </c>
      <c r="C11" s="8" t="s">
        <v>187</v>
      </c>
      <c r="D11" s="6"/>
    </row>
    <row r="12" spans="1:4">
      <c r="A12" t="s">
        <v>264</v>
      </c>
      <c r="B12" s="14">
        <v>4303.8</v>
      </c>
      <c r="C12" t="s">
        <v>265</v>
      </c>
      <c r="D12" s="6"/>
    </row>
    <row r="13" spans="1:4">
      <c r="A13" t="s">
        <v>274</v>
      </c>
      <c r="B13" s="12">
        <v>3151.4122766880009</v>
      </c>
      <c r="C13" t="s">
        <v>201</v>
      </c>
      <c r="D13" s="6"/>
    </row>
    <row r="14" spans="1:4">
      <c r="A14" t="s">
        <v>275</v>
      </c>
      <c r="B14" s="12">
        <v>2326.9025239200009</v>
      </c>
      <c r="C14" t="s">
        <v>203</v>
      </c>
      <c r="D14" s="6"/>
    </row>
    <row r="15" spans="1:4">
      <c r="A15" t="s">
        <v>158</v>
      </c>
      <c r="B15" s="12">
        <v>13903.818075000003</v>
      </c>
      <c r="C15" t="s">
        <v>159</v>
      </c>
      <c r="D15" s="6"/>
    </row>
    <row r="16" spans="1:4">
      <c r="A16" t="s">
        <v>166</v>
      </c>
      <c r="B16" s="12">
        <v>15242.646399750003</v>
      </c>
      <c r="C16" t="s">
        <v>167</v>
      </c>
      <c r="D16" s="6"/>
    </row>
    <row r="17" spans="1:4">
      <c r="A17" t="s">
        <v>160</v>
      </c>
      <c r="B17" s="12">
        <v>15242.646399750003</v>
      </c>
      <c r="C17" t="s">
        <v>161</v>
      </c>
      <c r="D17" s="6"/>
    </row>
    <row r="18" spans="1:4">
      <c r="A18" t="s">
        <v>168</v>
      </c>
      <c r="B18" s="12">
        <v>15242.646399750003</v>
      </c>
      <c r="C18" t="s">
        <v>169</v>
      </c>
      <c r="D18" s="6"/>
    </row>
    <row r="19" spans="1:4">
      <c r="A19" t="s">
        <v>162</v>
      </c>
      <c r="B19" s="12">
        <v>15242.646399750003</v>
      </c>
      <c r="C19" t="s">
        <v>163</v>
      </c>
      <c r="D19" s="6"/>
    </row>
    <row r="20" spans="1:4">
      <c r="A20" t="s">
        <v>164</v>
      </c>
      <c r="B20" s="12">
        <v>15242.646399750003</v>
      </c>
      <c r="C20" t="s">
        <v>165</v>
      </c>
      <c r="D20" s="6"/>
    </row>
    <row r="21" spans="1:4">
      <c r="A21" t="s">
        <v>220</v>
      </c>
      <c r="B21" s="12">
        <v>27060.269906250003</v>
      </c>
      <c r="C21" t="s">
        <v>221</v>
      </c>
      <c r="D21" s="6"/>
    </row>
    <row r="22" spans="1:4">
      <c r="A22" t="s">
        <v>222</v>
      </c>
      <c r="B22" s="12">
        <v>27060.269906250003</v>
      </c>
      <c r="C22" t="s">
        <v>223</v>
      </c>
      <c r="D22" s="6"/>
    </row>
    <row r="23" spans="1:4">
      <c r="A23" t="s">
        <v>224</v>
      </c>
      <c r="B23" s="12">
        <v>29056.659187500005</v>
      </c>
      <c r="C23" t="s">
        <v>225</v>
      </c>
      <c r="D23" s="6"/>
    </row>
    <row r="24" spans="1:4">
      <c r="A24" t="s">
        <v>226</v>
      </c>
      <c r="B24" s="12">
        <v>29056.659187500005</v>
      </c>
      <c r="C24" t="s">
        <v>227</v>
      </c>
      <c r="D24" s="6"/>
    </row>
    <row r="25" spans="1:4">
      <c r="A25" t="s">
        <v>244</v>
      </c>
      <c r="B25" s="12">
        <v>21503.368687500002</v>
      </c>
      <c r="C25" t="s">
        <v>245</v>
      </c>
      <c r="D25" s="6"/>
    </row>
    <row r="26" spans="1:4">
      <c r="A26" t="s">
        <v>246</v>
      </c>
      <c r="B26" s="12">
        <v>21503.368687500002</v>
      </c>
      <c r="C26" t="s">
        <v>247</v>
      </c>
      <c r="D26" s="6"/>
    </row>
    <row r="27" spans="1:4">
      <c r="A27" t="s">
        <v>250</v>
      </c>
      <c r="B27" s="12">
        <v>21503.368687500002</v>
      </c>
      <c r="C27" t="s">
        <v>251</v>
      </c>
      <c r="D27" s="6"/>
    </row>
    <row r="28" spans="1:4">
      <c r="A28" t="s">
        <v>248</v>
      </c>
      <c r="B28" s="12">
        <v>21503.368687500002</v>
      </c>
      <c r="C28" t="s">
        <v>249</v>
      </c>
      <c r="D28" s="6"/>
    </row>
    <row r="29" spans="1:4">
      <c r="A29" t="s">
        <v>252</v>
      </c>
      <c r="B29" s="12">
        <v>22489.230457968755</v>
      </c>
      <c r="C29" t="s">
        <v>253</v>
      </c>
      <c r="D29" s="6"/>
    </row>
    <row r="30" spans="1:4">
      <c r="A30" t="s">
        <v>254</v>
      </c>
      <c r="B30" s="12">
        <v>22489.230457968755</v>
      </c>
      <c r="C30" t="s">
        <v>255</v>
      </c>
      <c r="D30" s="6"/>
    </row>
    <row r="31" spans="1:4">
      <c r="A31" t="s">
        <v>258</v>
      </c>
      <c r="B31" s="12">
        <v>22489.230457968755</v>
      </c>
      <c r="C31" t="s">
        <v>259</v>
      </c>
      <c r="D31" s="6"/>
    </row>
    <row r="32" spans="1:4">
      <c r="A32" t="s">
        <v>256</v>
      </c>
      <c r="B32" s="12">
        <v>22489.230457968755</v>
      </c>
      <c r="C32" t="s">
        <v>257</v>
      </c>
      <c r="D32" s="6"/>
    </row>
    <row r="33" spans="1:4">
      <c r="A33" t="s">
        <v>280</v>
      </c>
      <c r="B33" s="12">
        <v>284.7533682240001</v>
      </c>
      <c r="C33" t="s">
        <v>281</v>
      </c>
      <c r="D33" s="6"/>
    </row>
    <row r="34" spans="1:4">
      <c r="A34" t="s">
        <v>278</v>
      </c>
      <c r="B34" s="12">
        <v>131.75155843200002</v>
      </c>
      <c r="C34" t="s">
        <v>279</v>
      </c>
      <c r="D34" s="6"/>
    </row>
    <row r="35" spans="1:4">
      <c r="A35" t="s">
        <v>143</v>
      </c>
      <c r="B35" s="12">
        <v>1183.0455000000002</v>
      </c>
      <c r="C35" t="s">
        <v>144</v>
      </c>
      <c r="D35" s="6"/>
    </row>
    <row r="36" spans="1:4">
      <c r="A36" t="s">
        <v>51</v>
      </c>
      <c r="B36" s="12">
        <v>853.15781250000009</v>
      </c>
      <c r="C36" t="s">
        <v>52</v>
      </c>
      <c r="D36" s="6"/>
    </row>
    <row r="37" spans="1:4">
      <c r="A37" t="s">
        <v>54</v>
      </c>
      <c r="B37" s="12">
        <v>1057.6051200000002</v>
      </c>
      <c r="C37" t="s">
        <v>55</v>
      </c>
      <c r="D37" s="6"/>
    </row>
    <row r="38" spans="1:4">
      <c r="A38" t="s">
        <v>145</v>
      </c>
      <c r="B38" s="12">
        <v>1677.8770312500001</v>
      </c>
      <c r="C38" t="s">
        <v>146</v>
      </c>
      <c r="D38" s="6"/>
    </row>
    <row r="39" spans="1:4">
      <c r="A39" t="s">
        <v>141</v>
      </c>
      <c r="B39" s="12">
        <v>1509.1413750000004</v>
      </c>
      <c r="C39" t="s">
        <v>142</v>
      </c>
      <c r="D39" s="6"/>
    </row>
    <row r="40" spans="1:4">
      <c r="A40" t="s">
        <v>122</v>
      </c>
      <c r="B40" s="12">
        <v>476.00563046400009</v>
      </c>
      <c r="C40" t="s">
        <v>123</v>
      </c>
      <c r="D40" s="6"/>
    </row>
    <row r="41" spans="1:4">
      <c r="A41" t="s">
        <v>215</v>
      </c>
      <c r="B41" s="12">
        <v>8861.4658125000005</v>
      </c>
      <c r="C41" t="s">
        <v>216</v>
      </c>
      <c r="D41" s="6"/>
    </row>
    <row r="42" spans="1:4">
      <c r="A42" t="s">
        <v>138</v>
      </c>
      <c r="B42" s="12">
        <v>2939.549333760001</v>
      </c>
      <c r="C42" t="s">
        <v>139</v>
      </c>
      <c r="D42" s="6"/>
    </row>
    <row r="43" spans="1:4">
      <c r="A43" t="s">
        <v>233</v>
      </c>
      <c r="B43" s="12">
        <v>15682.685503680004</v>
      </c>
      <c r="C43" t="s">
        <v>234</v>
      </c>
      <c r="D43" s="6"/>
    </row>
    <row r="44" spans="1:4">
      <c r="A44" t="s">
        <v>136</v>
      </c>
      <c r="B44" s="12">
        <v>5308.5375000000013</v>
      </c>
      <c r="C44" t="s">
        <v>137</v>
      </c>
      <c r="D44" s="6"/>
    </row>
    <row r="45" spans="1:4">
      <c r="A45" t="s">
        <v>130</v>
      </c>
      <c r="B45" s="12">
        <v>1300.5153832320002</v>
      </c>
      <c r="C45" t="s">
        <v>131</v>
      </c>
      <c r="D45" s="6"/>
    </row>
    <row r="46" spans="1:4">
      <c r="A46" t="s">
        <v>298</v>
      </c>
      <c r="B46" s="12">
        <v>1496.0176957440003</v>
      </c>
      <c r="C46" t="s">
        <v>299</v>
      </c>
      <c r="D46" s="6"/>
    </row>
    <row r="47" spans="1:4">
      <c r="A47" t="s">
        <v>300</v>
      </c>
      <c r="B47" s="12">
        <v>1496.0176957440003</v>
      </c>
      <c r="C47" t="s">
        <v>301</v>
      </c>
      <c r="D47" s="6"/>
    </row>
    <row r="48" spans="1:4">
      <c r="A48" t="s">
        <v>302</v>
      </c>
      <c r="B48" s="12">
        <v>1496.0176957440003</v>
      </c>
      <c r="C48" t="s">
        <v>303</v>
      </c>
      <c r="D48" s="6"/>
    </row>
    <row r="49" spans="1:4">
      <c r="A49" t="s">
        <v>304</v>
      </c>
      <c r="B49" s="12">
        <v>1496.0176957440003</v>
      </c>
      <c r="C49" t="s">
        <v>305</v>
      </c>
      <c r="D49" s="6"/>
    </row>
    <row r="50" spans="1:4">
      <c r="A50" t="s">
        <v>306</v>
      </c>
      <c r="B50" s="12">
        <v>1496.0176957440003</v>
      </c>
      <c r="C50" t="s">
        <v>307</v>
      </c>
      <c r="D50" s="6"/>
    </row>
    <row r="51" spans="1:4">
      <c r="A51" t="s">
        <v>308</v>
      </c>
      <c r="B51" s="12">
        <v>1496.0176957440003</v>
      </c>
      <c r="C51" t="s">
        <v>309</v>
      </c>
      <c r="D51" s="6"/>
    </row>
    <row r="52" spans="1:4">
      <c r="A52" t="s">
        <v>174</v>
      </c>
      <c r="B52" s="12">
        <v>1296.7998750000002</v>
      </c>
      <c r="C52" t="s">
        <v>175</v>
      </c>
      <c r="D52" s="6"/>
    </row>
    <row r="53" spans="1:4">
      <c r="A53" t="s">
        <v>294</v>
      </c>
      <c r="B53" s="12">
        <v>1829.6466420960005</v>
      </c>
      <c r="C53" t="s">
        <v>295</v>
      </c>
      <c r="D53" s="6"/>
    </row>
    <row r="54" spans="1:4">
      <c r="A54" t="s">
        <v>176</v>
      </c>
      <c r="B54" s="12">
        <v>1738.5460312500002</v>
      </c>
      <c r="C54" t="s">
        <v>177</v>
      </c>
      <c r="D54" s="6"/>
    </row>
    <row r="55" spans="1:4">
      <c r="A55" t="s">
        <v>235</v>
      </c>
      <c r="B55" s="12">
        <v>8355.6813600000023</v>
      </c>
      <c r="C55" t="s">
        <v>236</v>
      </c>
      <c r="D55" s="6"/>
    </row>
    <row r="56" spans="1:4">
      <c r="A56" t="s">
        <v>237</v>
      </c>
      <c r="B56" s="12">
        <v>8355.6813600000023</v>
      </c>
      <c r="C56" t="s">
        <v>238</v>
      </c>
      <c r="D56" s="6"/>
    </row>
    <row r="57" spans="1:4">
      <c r="A57" t="s">
        <v>239</v>
      </c>
      <c r="B57" s="12">
        <v>8355.6813600000023</v>
      </c>
      <c r="C57" t="s">
        <v>240</v>
      </c>
      <c r="D57" s="6"/>
    </row>
    <row r="58" spans="1:4">
      <c r="A58" t="s">
        <v>172</v>
      </c>
      <c r="B58" s="12">
        <v>1776.4641562500001</v>
      </c>
      <c r="C58" t="s">
        <v>173</v>
      </c>
      <c r="D58" s="6"/>
    </row>
    <row r="59" spans="1:4">
      <c r="A59" t="s">
        <v>296</v>
      </c>
      <c r="B59" s="12">
        <v>1402.5165897600004</v>
      </c>
      <c r="C59" t="s">
        <v>297</v>
      </c>
      <c r="D59" s="6"/>
    </row>
    <row r="60" spans="1:4">
      <c r="A60" t="s">
        <v>312</v>
      </c>
      <c r="B60" s="12">
        <v>520.63115832000005</v>
      </c>
      <c r="C60" t="s">
        <v>313</v>
      </c>
      <c r="D60" s="6"/>
    </row>
    <row r="61" spans="1:4">
      <c r="A61" t="s">
        <v>285</v>
      </c>
      <c r="B61" s="12">
        <v>539.75638454400018</v>
      </c>
      <c r="C61" t="s">
        <v>286</v>
      </c>
      <c r="D61" s="6"/>
    </row>
    <row r="62" spans="1:4">
      <c r="A62" t="s">
        <v>291</v>
      </c>
      <c r="B62" s="12">
        <v>1096.512970176</v>
      </c>
      <c r="C62" t="s">
        <v>292</v>
      </c>
      <c r="D62" s="6"/>
    </row>
    <row r="63" spans="1:4">
      <c r="A63" t="s">
        <v>178</v>
      </c>
      <c r="B63" s="12">
        <v>1738.5460312500002</v>
      </c>
      <c r="C63" t="s">
        <v>179</v>
      </c>
      <c r="D63" s="6"/>
    </row>
    <row r="64" spans="1:4">
      <c r="A64" t="s">
        <v>29</v>
      </c>
      <c r="B64" s="12">
        <v>103.13730000000002</v>
      </c>
      <c r="C64" t="s">
        <v>30</v>
      </c>
      <c r="D64" s="6"/>
    </row>
    <row r="65" spans="1:4">
      <c r="A65" t="s">
        <v>124</v>
      </c>
      <c r="B65" s="12">
        <v>128.92162500000001</v>
      </c>
      <c r="C65" t="s">
        <v>125</v>
      </c>
      <c r="D65" s="6"/>
    </row>
    <row r="66" spans="1:4">
      <c r="A66" t="s">
        <v>170</v>
      </c>
      <c r="B66" s="12">
        <v>1096.512970176</v>
      </c>
      <c r="C66" t="s">
        <v>171</v>
      </c>
      <c r="D66" s="6"/>
    </row>
    <row r="67" spans="1:4">
      <c r="A67" t="s">
        <v>27</v>
      </c>
      <c r="B67" s="12">
        <v>603.50713862400005</v>
      </c>
      <c r="C67" t="s">
        <v>97</v>
      </c>
      <c r="D67" s="6"/>
    </row>
    <row r="68" spans="1:4">
      <c r="A68" t="s">
        <v>132</v>
      </c>
      <c r="B68" s="12">
        <v>622.63236484800007</v>
      </c>
      <c r="C68" t="s">
        <v>28</v>
      </c>
      <c r="D68" s="6"/>
    </row>
    <row r="69" spans="1:4">
      <c r="A69" t="s">
        <v>314</v>
      </c>
      <c r="B69" s="12">
        <v>597.13206321600023</v>
      </c>
      <c r="C69" t="s">
        <v>315</v>
      </c>
      <c r="D69" s="6"/>
    </row>
    <row r="70" spans="1:4">
      <c r="A70" t="s">
        <v>310</v>
      </c>
      <c r="B70" s="12">
        <v>367.62934852800004</v>
      </c>
      <c r="C70" t="s">
        <v>311</v>
      </c>
      <c r="D70" s="6"/>
    </row>
    <row r="71" spans="1:4">
      <c r="A71" t="s">
        <v>282</v>
      </c>
      <c r="B71" s="12">
        <v>524.88120859200012</v>
      </c>
      <c r="C71" t="s">
        <v>283</v>
      </c>
      <c r="D71" s="6"/>
    </row>
    <row r="72" spans="1:4">
      <c r="A72" t="s">
        <v>288</v>
      </c>
      <c r="B72" s="12">
        <v>1096.512970176</v>
      </c>
      <c r="C72" t="s">
        <v>289</v>
      </c>
      <c r="D72" s="6"/>
    </row>
    <row r="73" spans="1:4">
      <c r="A73" t="s">
        <v>58</v>
      </c>
      <c r="B73" s="12">
        <v>27.625326768000008</v>
      </c>
      <c r="C73" t="s">
        <v>59</v>
      </c>
      <c r="D73" s="6"/>
    </row>
    <row r="74" spans="1:4">
      <c r="A74" s="15" t="s">
        <v>37</v>
      </c>
      <c r="B74" s="16"/>
      <c r="C74" s="15" t="s">
        <v>38</v>
      </c>
      <c r="D74" s="17" t="s">
        <v>241</v>
      </c>
    </row>
    <row r="75" spans="1:4">
      <c r="A75" s="8" t="s">
        <v>44</v>
      </c>
      <c r="B75" s="19">
        <v>1235</v>
      </c>
      <c r="C75" s="8" t="s">
        <v>45</v>
      </c>
      <c r="D75" s="17"/>
    </row>
    <row r="76" spans="1:4">
      <c r="A76" s="8" t="s">
        <v>66</v>
      </c>
      <c r="B76" s="19">
        <v>17.55</v>
      </c>
      <c r="C76" s="8" t="s">
        <v>67</v>
      </c>
      <c r="D76" s="17"/>
    </row>
    <row r="77" spans="1:4">
      <c r="A77" s="8" t="s">
        <v>68</v>
      </c>
      <c r="B77" s="19">
        <v>17.55</v>
      </c>
      <c r="C77" s="8" t="s">
        <v>69</v>
      </c>
      <c r="D77" s="17"/>
    </row>
    <row r="78" spans="1:4">
      <c r="A78" t="s">
        <v>56</v>
      </c>
      <c r="B78" s="12">
        <v>27.625326768000008</v>
      </c>
      <c r="C78" t="s">
        <v>57</v>
      </c>
      <c r="D78" s="6"/>
    </row>
    <row r="79" spans="1:4">
      <c r="A79" t="s">
        <v>133</v>
      </c>
      <c r="B79" s="12">
        <v>28.890000000000004</v>
      </c>
      <c r="C79" t="s">
        <v>36</v>
      </c>
      <c r="D79" s="6"/>
    </row>
    <row r="80" spans="1:4">
      <c r="A80" t="s">
        <v>208</v>
      </c>
      <c r="B80" s="12">
        <v>446.83200000000005</v>
      </c>
      <c r="C80" t="s">
        <v>209</v>
      </c>
      <c r="D80" s="6"/>
    </row>
    <row r="81" spans="1:4">
      <c r="A81" t="s">
        <v>60</v>
      </c>
      <c r="B81" s="12">
        <v>27.051569981280004</v>
      </c>
      <c r="C81" t="s">
        <v>61</v>
      </c>
      <c r="D81" s="6"/>
    </row>
    <row r="82" spans="1:4">
      <c r="A82" t="s">
        <v>62</v>
      </c>
      <c r="B82" s="12">
        <v>33.816587501736002</v>
      </c>
      <c r="C82" t="s">
        <v>63</v>
      </c>
      <c r="D82" s="6"/>
    </row>
    <row r="83" spans="1:4">
      <c r="A83" t="s">
        <v>64</v>
      </c>
      <c r="B83" s="12">
        <v>27.593451390960002</v>
      </c>
      <c r="C83" t="s">
        <v>65</v>
      </c>
      <c r="D83" s="6"/>
    </row>
    <row r="84" spans="1:4">
      <c r="A84" t="s">
        <v>120</v>
      </c>
      <c r="B84" s="12">
        <v>1132.6590288</v>
      </c>
      <c r="C84" t="s">
        <v>121</v>
      </c>
      <c r="D84" s="6"/>
    </row>
    <row r="85" spans="1:4">
      <c r="A85" t="s">
        <v>98</v>
      </c>
      <c r="B85" s="12">
        <v>811.75960195200014</v>
      </c>
      <c r="C85" t="s">
        <v>99</v>
      </c>
      <c r="D85" s="6"/>
    </row>
    <row r="86" spans="1:4">
      <c r="A86" t="s">
        <v>128</v>
      </c>
      <c r="B86" s="12">
        <v>155.12683492800002</v>
      </c>
      <c r="C86" t="s">
        <v>129</v>
      </c>
      <c r="D86" s="6"/>
    </row>
    <row r="87" spans="1:4">
      <c r="A87" t="s">
        <v>126</v>
      </c>
      <c r="B87" s="12">
        <v>565.25668617600024</v>
      </c>
      <c r="C87" t="s">
        <v>127</v>
      </c>
      <c r="D87" s="6"/>
    </row>
    <row r="88" spans="1:4">
      <c r="A88" t="s">
        <v>35</v>
      </c>
      <c r="B88" s="12">
        <v>28.890000000000004</v>
      </c>
      <c r="C88" t="s">
        <v>36</v>
      </c>
      <c r="D88" s="6"/>
    </row>
    <row r="89" spans="1:4">
      <c r="A89" t="s">
        <v>73</v>
      </c>
      <c r="B89" s="12">
        <v>4170.9937500000005</v>
      </c>
      <c r="C89" t="s">
        <v>74</v>
      </c>
      <c r="D89" s="6"/>
    </row>
    <row r="90" spans="1:4">
      <c r="A90" t="s">
        <v>89</v>
      </c>
      <c r="B90" s="12">
        <v>4170.9937500000005</v>
      </c>
      <c r="C90" t="s">
        <v>90</v>
      </c>
      <c r="D90" s="6"/>
    </row>
    <row r="91" spans="1:4">
      <c r="A91" t="s">
        <v>81</v>
      </c>
      <c r="B91" s="12">
        <v>4170.9937500000005</v>
      </c>
      <c r="C91" t="s">
        <v>82</v>
      </c>
      <c r="D91" s="6"/>
    </row>
    <row r="92" spans="1:4">
      <c r="A92" t="s">
        <v>103</v>
      </c>
      <c r="B92" s="12">
        <v>4174.7855625000002</v>
      </c>
      <c r="C92" t="s">
        <v>104</v>
      </c>
      <c r="D92" s="6"/>
    </row>
    <row r="93" spans="1:4">
      <c r="A93" t="s">
        <v>342</v>
      </c>
      <c r="B93" s="12">
        <v>5161.998355762501</v>
      </c>
      <c r="C93" t="s">
        <v>343</v>
      </c>
      <c r="D93" s="6"/>
    </row>
    <row r="94" spans="1:4">
      <c r="A94" t="s">
        <v>77</v>
      </c>
      <c r="B94" s="12">
        <v>4436.4206250000007</v>
      </c>
      <c r="C94" t="s">
        <v>78</v>
      </c>
      <c r="D94" s="6"/>
    </row>
    <row r="95" spans="1:4">
      <c r="A95" t="s">
        <v>93</v>
      </c>
      <c r="B95" s="12">
        <v>4436.4206250000007</v>
      </c>
      <c r="C95" t="s">
        <v>94</v>
      </c>
      <c r="D95" s="6"/>
    </row>
    <row r="96" spans="1:4">
      <c r="A96" t="s">
        <v>85</v>
      </c>
      <c r="B96" s="12">
        <v>4436.4206250000007</v>
      </c>
      <c r="C96" t="s">
        <v>86</v>
      </c>
      <c r="D96" s="6"/>
    </row>
    <row r="97" spans="1:4">
      <c r="A97" t="s">
        <v>79</v>
      </c>
      <c r="B97" s="12">
        <v>4747.3492500000011</v>
      </c>
      <c r="C97" t="s">
        <v>80</v>
      </c>
      <c r="D97" s="6"/>
    </row>
    <row r="98" spans="1:4">
      <c r="A98" t="s">
        <v>95</v>
      </c>
      <c r="B98" s="12">
        <v>4747.3492500000011</v>
      </c>
      <c r="C98" t="s">
        <v>96</v>
      </c>
      <c r="D98" s="6"/>
    </row>
    <row r="99" spans="1:4">
      <c r="A99" t="s">
        <v>87</v>
      </c>
      <c r="B99" s="12">
        <v>4747.3492500000011</v>
      </c>
      <c r="C99" t="s">
        <v>88</v>
      </c>
      <c r="D99" s="6"/>
    </row>
    <row r="100" spans="1:4">
      <c r="A100" t="s">
        <v>75</v>
      </c>
      <c r="B100" s="12">
        <v>4626.0112500000005</v>
      </c>
      <c r="C100" t="s">
        <v>76</v>
      </c>
      <c r="D100" s="6"/>
    </row>
    <row r="101" spans="1:4">
      <c r="A101" t="s">
        <v>91</v>
      </c>
      <c r="B101" s="12">
        <v>4626.0112500000005</v>
      </c>
      <c r="C101" t="s">
        <v>92</v>
      </c>
      <c r="D101" s="6"/>
    </row>
    <row r="102" spans="1:4">
      <c r="A102" t="s">
        <v>83</v>
      </c>
      <c r="B102" s="12">
        <v>4626.0112500000005</v>
      </c>
      <c r="C102" t="s">
        <v>84</v>
      </c>
      <c r="D102" s="6"/>
    </row>
    <row r="103" spans="1:4">
      <c r="A103" t="s">
        <v>8</v>
      </c>
      <c r="B103" s="12">
        <v>7963</v>
      </c>
      <c r="C103" t="s">
        <v>9</v>
      </c>
      <c r="D103" s="6"/>
    </row>
    <row r="104" spans="1:4">
      <c r="A104" t="s">
        <v>10</v>
      </c>
      <c r="B104" s="12">
        <v>7963</v>
      </c>
      <c r="C104" t="s">
        <v>11</v>
      </c>
      <c r="D104" s="6"/>
    </row>
    <row r="105" spans="1:4">
      <c r="A105" t="s">
        <v>12</v>
      </c>
      <c r="B105" s="12">
        <v>7963</v>
      </c>
      <c r="C105" t="s">
        <v>13</v>
      </c>
      <c r="D105" s="6"/>
    </row>
    <row r="106" spans="1:4">
      <c r="A106" t="s">
        <v>346</v>
      </c>
      <c r="B106" s="12">
        <v>7020</v>
      </c>
      <c r="C106" t="s">
        <v>347</v>
      </c>
      <c r="D106" s="6"/>
    </row>
    <row r="107" spans="1:4">
      <c r="A107" s="15" t="s">
        <v>18</v>
      </c>
      <c r="B107" s="16"/>
      <c r="C107" s="15" t="s">
        <v>39</v>
      </c>
      <c r="D107" s="6"/>
    </row>
    <row r="108" spans="1:4">
      <c r="A108" s="15" t="s">
        <v>49</v>
      </c>
      <c r="B108" s="16"/>
      <c r="C108" s="15" t="s">
        <v>39</v>
      </c>
      <c r="D108" s="6"/>
    </row>
    <row r="109" spans="1:4">
      <c r="A109" s="15" t="s">
        <v>14</v>
      </c>
      <c r="B109" s="16"/>
      <c r="C109" s="15" t="s">
        <v>39</v>
      </c>
      <c r="D109" s="6"/>
    </row>
    <row r="110" spans="1:4">
      <c r="A110" s="15" t="s">
        <v>16</v>
      </c>
      <c r="B110" s="16"/>
      <c r="C110" s="15" t="s">
        <v>39</v>
      </c>
      <c r="D110" s="6"/>
    </row>
    <row r="111" spans="1:4">
      <c r="A111" t="s">
        <v>40</v>
      </c>
      <c r="B111" s="12">
        <v>210.37748846400004</v>
      </c>
      <c r="C111" t="s">
        <v>41</v>
      </c>
      <c r="D111" s="6"/>
    </row>
    <row r="112" spans="1:4">
      <c r="A112" s="15" t="s">
        <v>340</v>
      </c>
      <c r="B112" s="16"/>
      <c r="C112" s="15" t="s">
        <v>39</v>
      </c>
      <c r="D112" s="6"/>
    </row>
    <row r="113" spans="1:4">
      <c r="A113" s="15" t="s">
        <v>20</v>
      </c>
      <c r="B113" s="16"/>
      <c r="C113" s="15" t="s">
        <v>39</v>
      </c>
      <c r="D113" s="6"/>
    </row>
    <row r="114" spans="1:4">
      <c r="A114" s="15" t="s">
        <v>22</v>
      </c>
      <c r="B114" s="16"/>
      <c r="C114" s="15" t="s">
        <v>39</v>
      </c>
      <c r="D114" s="6"/>
    </row>
    <row r="115" spans="1:4">
      <c r="A115" s="15" t="s">
        <v>24</v>
      </c>
      <c r="B115" s="16"/>
      <c r="C115" s="15" t="s">
        <v>39</v>
      </c>
      <c r="D115" s="6"/>
    </row>
    <row r="116" spans="1:4">
      <c r="A116" t="s">
        <v>114</v>
      </c>
      <c r="B116" s="12">
        <v>9372.0575995200015</v>
      </c>
      <c r="C116" t="s">
        <v>115</v>
      </c>
      <c r="D116" s="6"/>
    </row>
    <row r="117" spans="1:4">
      <c r="A117" t="s">
        <v>108</v>
      </c>
      <c r="B117" s="12">
        <v>9372.0575995200015</v>
      </c>
      <c r="C117" t="s">
        <v>109</v>
      </c>
      <c r="D117" s="6"/>
    </row>
    <row r="118" spans="1:4">
      <c r="A118" t="s">
        <v>116</v>
      </c>
      <c r="B118" s="12">
        <v>9372.0575995200015</v>
      </c>
      <c r="C118" t="s">
        <v>117</v>
      </c>
      <c r="D118" s="6"/>
    </row>
    <row r="119" spans="1:4">
      <c r="A119" t="s">
        <v>110</v>
      </c>
      <c r="B119" s="12">
        <v>9372.0575995200015</v>
      </c>
      <c r="C119" t="s">
        <v>111</v>
      </c>
      <c r="D119" s="6"/>
    </row>
    <row r="120" spans="1:4">
      <c r="A120" t="s">
        <v>112</v>
      </c>
      <c r="B120" s="12">
        <v>9372.0575995200015</v>
      </c>
      <c r="C120" t="s">
        <v>113</v>
      </c>
      <c r="D120" s="6"/>
    </row>
    <row r="121" spans="1:4">
      <c r="A121" t="s">
        <v>344</v>
      </c>
      <c r="B121" s="12">
        <v>11015.117906128564</v>
      </c>
      <c r="C121" t="s">
        <v>345</v>
      </c>
      <c r="D121" s="6"/>
    </row>
    <row r="122" spans="1:4">
      <c r="A122" t="s">
        <v>118</v>
      </c>
      <c r="B122" s="12">
        <v>131.75155843200002</v>
      </c>
      <c r="C122" t="s">
        <v>119</v>
      </c>
      <c r="D122" s="6"/>
    </row>
    <row r="123" spans="1:4">
      <c r="A123" t="s">
        <v>42</v>
      </c>
      <c r="B123" s="12">
        <v>57.635550000000002</v>
      </c>
      <c r="C123" t="s">
        <v>43</v>
      </c>
      <c r="D123" s="6"/>
    </row>
    <row r="124" spans="1:4">
      <c r="A124" t="s">
        <v>134</v>
      </c>
      <c r="B124" s="12">
        <v>68.252625000000009</v>
      </c>
      <c r="C124" t="s">
        <v>135</v>
      </c>
      <c r="D124" s="6"/>
    </row>
    <row r="125" spans="1:4">
      <c r="A125" t="s">
        <v>318</v>
      </c>
      <c r="B125" s="12">
        <v>12359.255441399999</v>
      </c>
      <c r="C125" t="s">
        <v>319</v>
      </c>
      <c r="D125" s="6"/>
    </row>
    <row r="126" spans="1:4">
      <c r="A126" t="s">
        <v>328</v>
      </c>
      <c r="B126" s="12">
        <v>17353.156345087504</v>
      </c>
      <c r="C126" t="s">
        <v>329</v>
      </c>
      <c r="D126" s="6"/>
    </row>
    <row r="127" spans="1:4">
      <c r="A127" t="s">
        <v>338</v>
      </c>
      <c r="B127" s="12">
        <v>26957.124183852004</v>
      </c>
      <c r="C127" t="s">
        <v>339</v>
      </c>
      <c r="D127" s="6"/>
    </row>
    <row r="128" spans="1:4">
      <c r="A128" t="s">
        <v>326</v>
      </c>
      <c r="B128" s="12">
        <v>16993.712237512504</v>
      </c>
      <c r="C128" t="s">
        <v>327</v>
      </c>
      <c r="D128" s="6"/>
    </row>
    <row r="129" spans="1:4">
      <c r="A129" t="s">
        <v>336</v>
      </c>
      <c r="B129" s="12">
        <v>26729.651392272008</v>
      </c>
      <c r="C129" t="s">
        <v>337</v>
      </c>
      <c r="D129" s="6"/>
    </row>
    <row r="130" spans="1:4">
      <c r="A130" t="s">
        <v>324</v>
      </c>
      <c r="B130" s="12">
        <v>30013.5829825125</v>
      </c>
      <c r="C130" t="s">
        <v>325</v>
      </c>
      <c r="D130" s="6"/>
    </row>
    <row r="131" spans="1:4">
      <c r="A131" t="s">
        <v>334</v>
      </c>
      <c r="B131" s="12">
        <v>38912.872124700007</v>
      </c>
      <c r="C131" t="s">
        <v>335</v>
      </c>
      <c r="D131" s="6"/>
    </row>
    <row r="132" spans="1:4">
      <c r="A132" t="s">
        <v>322</v>
      </c>
      <c r="B132" s="12">
        <v>29654.138874937496</v>
      </c>
      <c r="C132" t="s">
        <v>323</v>
      </c>
      <c r="D132" s="6"/>
    </row>
    <row r="133" spans="1:4">
      <c r="A133" t="s">
        <v>332</v>
      </c>
      <c r="B133" s="12">
        <v>38553.428017125007</v>
      </c>
      <c r="C133" t="s">
        <v>333</v>
      </c>
      <c r="D133" s="6"/>
    </row>
    <row r="134" spans="1:4">
      <c r="A134" t="s">
        <v>320</v>
      </c>
      <c r="B134" s="12">
        <v>23367.209854274999</v>
      </c>
      <c r="C134" t="s">
        <v>321</v>
      </c>
      <c r="D134" s="6"/>
    </row>
    <row r="135" spans="1:4">
      <c r="A135" t="s">
        <v>31</v>
      </c>
      <c r="B135" s="12">
        <v>155.12683492800002</v>
      </c>
      <c r="C135" t="s">
        <v>32</v>
      </c>
      <c r="D135" s="6"/>
    </row>
    <row r="136" spans="1:4">
      <c r="A136" t="s">
        <v>330</v>
      </c>
      <c r="B136" s="12">
        <v>32466.056995512001</v>
      </c>
      <c r="C136" t="s">
        <v>348</v>
      </c>
      <c r="D136" s="6"/>
    </row>
    <row r="137" spans="1:4">
      <c r="A137" t="s">
        <v>210</v>
      </c>
      <c r="B137" s="19">
        <v>283.39999999999998</v>
      </c>
      <c r="C137" t="s">
        <v>211</v>
      </c>
    </row>
    <row r="138" spans="1:4">
      <c r="A138" t="s">
        <v>212</v>
      </c>
      <c r="B138" s="19">
        <v>2242.5</v>
      </c>
      <c r="C138" t="s">
        <v>213</v>
      </c>
    </row>
    <row r="139" spans="1:4">
      <c r="A139" t="s">
        <v>101</v>
      </c>
      <c r="B139" s="19">
        <v>975</v>
      </c>
      <c r="C139" t="s">
        <v>214</v>
      </c>
    </row>
    <row r="140" spans="1:4">
      <c r="A140" t="s">
        <v>190</v>
      </c>
      <c r="B140" s="21">
        <v>7074.6</v>
      </c>
      <c r="C140" t="s">
        <v>191</v>
      </c>
    </row>
    <row r="141" spans="1:4">
      <c r="A141" t="s">
        <v>192</v>
      </c>
      <c r="B141" s="21">
        <v>5107.05</v>
      </c>
      <c r="C141" t="s">
        <v>193</v>
      </c>
    </row>
    <row r="142" spans="1:4">
      <c r="A142" t="s">
        <v>194</v>
      </c>
      <c r="B142" s="21">
        <v>4303.8</v>
      </c>
      <c r="C142" t="s">
        <v>195</v>
      </c>
    </row>
    <row r="143" spans="1:4">
      <c r="A143" t="s">
        <v>196</v>
      </c>
      <c r="B143" s="21">
        <v>7074.6</v>
      </c>
      <c r="C143" t="s">
        <v>197</v>
      </c>
    </row>
    <row r="144" spans="1:4">
      <c r="A144" t="s">
        <v>198</v>
      </c>
      <c r="B144" s="21">
        <v>6867.9000000000005</v>
      </c>
      <c r="C144" t="s">
        <v>199</v>
      </c>
    </row>
    <row r="145" spans="1:3">
      <c r="A145" t="s">
        <v>204</v>
      </c>
      <c r="B145" s="14">
        <v>3034.8</v>
      </c>
      <c r="C145" t="s">
        <v>205</v>
      </c>
    </row>
    <row r="146" spans="1:3">
      <c r="A146" t="s">
        <v>206</v>
      </c>
      <c r="B146" s="21">
        <v>990.6</v>
      </c>
      <c r="C146" t="s">
        <v>207</v>
      </c>
    </row>
    <row r="147" spans="1:3">
      <c r="A147" t="s">
        <v>180</v>
      </c>
      <c r="B147" s="21">
        <v>1861.6000000000001</v>
      </c>
      <c r="C147" t="s">
        <v>181</v>
      </c>
    </row>
    <row r="148" spans="1:3">
      <c r="A148" t="s">
        <v>266</v>
      </c>
      <c r="B148" s="21">
        <v>7074.6</v>
      </c>
      <c r="C148" t="s">
        <v>267</v>
      </c>
    </row>
    <row r="149" spans="1:3">
      <c r="A149" t="s">
        <v>268</v>
      </c>
      <c r="B149" s="21">
        <v>7074.6</v>
      </c>
      <c r="C149" t="s">
        <v>269</v>
      </c>
    </row>
    <row r="150" spans="1:3">
      <c r="A150" t="s">
        <v>270</v>
      </c>
      <c r="B150" s="21">
        <v>5107.05</v>
      </c>
      <c r="C150" t="s">
        <v>271</v>
      </c>
    </row>
    <row r="151" spans="1:3">
      <c r="A151" t="s">
        <v>272</v>
      </c>
      <c r="B151" s="21">
        <v>4303.8</v>
      </c>
      <c r="C151" t="s">
        <v>273</v>
      </c>
    </row>
    <row r="152" spans="1:3">
      <c r="A152" t="s">
        <v>276</v>
      </c>
      <c r="B152" s="13">
        <v>990.6</v>
      </c>
      <c r="C152" t="s">
        <v>207</v>
      </c>
    </row>
    <row r="153" spans="1:3">
      <c r="A153" t="s">
        <v>277</v>
      </c>
      <c r="B153" s="13">
        <v>2255.5</v>
      </c>
      <c r="C153" t="s">
        <v>205</v>
      </c>
    </row>
    <row r="154" spans="1:3">
      <c r="B154"/>
    </row>
    <row r="155" spans="1:3">
      <c r="B155"/>
    </row>
    <row r="156" spans="1:3">
      <c r="B156"/>
    </row>
    <row r="157" spans="1:3">
      <c r="B157"/>
    </row>
    <row r="158" spans="1:3">
      <c r="B158"/>
    </row>
    <row r="159" spans="1:3">
      <c r="B159"/>
    </row>
    <row r="160" spans="1:3">
      <c r="B160"/>
    </row>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sheetData>
  <sortState xmlns:xlrd2="http://schemas.microsoft.com/office/spreadsheetml/2017/richdata2" ref="A2:C135">
    <sortCondition ref="A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2B704682F3F544BC80C0E1E570E1CE" ma:contentTypeVersion="6" ma:contentTypeDescription="Create a new document." ma:contentTypeScope="" ma:versionID="03d6f7d4fec555000b0753ebd10cc733">
  <xsd:schema xmlns:xsd="http://www.w3.org/2001/XMLSchema" xmlns:xs="http://www.w3.org/2001/XMLSchema" xmlns:p="http://schemas.microsoft.com/office/2006/metadata/properties" xmlns:ns2="fcfb2aab-aacb-455b-9328-7345f54232db" xmlns:ns3="7be514ab-5506-4222-96db-7300a41e6efd" targetNamespace="http://schemas.microsoft.com/office/2006/metadata/properties" ma:root="true" ma:fieldsID="c33fdfd7e5e10e1931452cdca81c6be1" ns2:_="" ns3:_="">
    <xsd:import namespace="fcfb2aab-aacb-455b-9328-7345f54232db"/>
    <xsd:import namespace="7be514ab-5506-4222-96db-7300a41e6e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fb2aab-aacb-455b-9328-7345f54232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514ab-5506-4222-96db-7300a41e6ef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11AA83-F938-4CD4-B358-021338E33BBA}"/>
</file>

<file path=customXml/itemProps2.xml><?xml version="1.0" encoding="utf-8"?>
<ds:datastoreItem xmlns:ds="http://schemas.openxmlformats.org/officeDocument/2006/customXml" ds:itemID="{39277846-0520-4159-90F2-F9D4D3AD0038}"/>
</file>

<file path=customXml/itemProps3.xml><?xml version="1.0" encoding="utf-8"?>
<ds:datastoreItem xmlns:ds="http://schemas.openxmlformats.org/officeDocument/2006/customXml" ds:itemID="{E9CD6377-F9EE-48AB-BC32-90E1256C7F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Sinfield</dc:creator>
  <cp:keywords/>
  <dc:description/>
  <cp:lastModifiedBy>Paloma Kathleen | Sintese Biotecnologia</cp:lastModifiedBy>
  <cp:revision/>
  <dcterms:created xsi:type="dcterms:W3CDTF">2019-01-10T10:22:10Z</dcterms:created>
  <dcterms:modified xsi:type="dcterms:W3CDTF">2025-09-18T16:22:25Z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0x0101000E2B704682F3F544BC80C0E1E570E1CE</vt:lpwstr>
  </property>
  <property fmtid="{D5CDD505-2E9C-101B-9397-08002B2CF9AE}" pid="3" name="AuthorIds_UIVersion_1024">
    <vt:lpwstr>16</vt:lpwstr>
  </property>
</Properties>
</file>