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ice Lists\Price Lists 2025\Hermle\"/>
    </mc:Choice>
  </mc:AlternateContent>
  <xr:revisionPtr revIDLastSave="0" documentId="13_ncr:1_{99B9B873-560D-4295-B658-211FBBE4A003}" xr6:coauthVersionLast="47" xr6:coauthVersionMax="47" xr10:uidLastSave="{00000000-0000-0000-0000-000000000000}"/>
  <bookViews>
    <workbookView xWindow="34755" yWindow="3240" windowWidth="21600" windowHeight="11430" xr2:uid="{00000000-000D-0000-FFFF-FFFF00000000}"/>
  </bookViews>
  <sheets>
    <sheet name="Hermle" sheetId="4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1" i="4" l="1"/>
  <c r="F582" i="4"/>
  <c r="F365" i="4"/>
  <c r="F298" i="4"/>
  <c r="F297" i="4"/>
  <c r="F352" i="4"/>
  <c r="F351" i="4"/>
  <c r="F369" i="4"/>
  <c r="F368" i="4"/>
  <c r="F376" i="4"/>
  <c r="F375" i="4"/>
  <c r="F536" i="4"/>
  <c r="F535" i="4"/>
  <c r="F568" i="4"/>
  <c r="F567" i="4"/>
  <c r="F586" i="4"/>
  <c r="F585" i="4"/>
  <c r="F611" i="4"/>
  <c r="F610" i="4"/>
  <c r="F603" i="4"/>
  <c r="F604" i="4"/>
  <c r="F580" i="4"/>
  <c r="F564" i="4"/>
  <c r="F346" i="4"/>
  <c r="K352" i="4"/>
  <c r="K351" i="4"/>
  <c r="K77" i="4"/>
  <c r="F77" i="4"/>
  <c r="F349" i="4"/>
  <c r="F247" i="4" l="1"/>
  <c r="F620" i="4"/>
  <c r="F619" i="4"/>
  <c r="F618" i="4"/>
  <c r="F531" i="4"/>
  <c r="F530" i="4"/>
  <c r="F529" i="4"/>
  <c r="F514" i="4"/>
  <c r="F513" i="4"/>
  <c r="F498" i="4"/>
  <c r="F497" i="4"/>
  <c r="F496" i="4"/>
  <c r="F472" i="4"/>
  <c r="F471" i="4"/>
  <c r="F470" i="4"/>
  <c r="F395" i="4"/>
  <c r="F394" i="4"/>
  <c r="F393" i="4"/>
  <c r="F329" i="4"/>
  <c r="F328" i="4"/>
  <c r="F327" i="4"/>
  <c r="F312" i="4"/>
  <c r="F311" i="4"/>
  <c r="F310" i="4"/>
  <c r="F255" i="4"/>
  <c r="F254" i="4"/>
  <c r="F253" i="4"/>
  <c r="F238" i="4"/>
  <c r="F237" i="4"/>
  <c r="F236" i="4"/>
  <c r="F168" i="4"/>
  <c r="F167" i="4"/>
  <c r="F166" i="4"/>
  <c r="F97" i="4"/>
  <c r="F96" i="4"/>
  <c r="F95" i="4"/>
  <c r="H359" i="4" l="1"/>
  <c r="K644" i="4" l="1"/>
  <c r="F644" i="4"/>
  <c r="K643" i="4"/>
  <c r="F643" i="4"/>
  <c r="K642" i="4"/>
  <c r="F642" i="4"/>
  <c r="K641" i="4"/>
  <c r="F641" i="4"/>
  <c r="K640" i="4"/>
  <c r="F640" i="4"/>
  <c r="K639" i="4"/>
  <c r="F639" i="4"/>
  <c r="K638" i="4"/>
  <c r="F638" i="4"/>
  <c r="K637" i="4"/>
  <c r="F637" i="4"/>
  <c r="K633" i="4"/>
  <c r="H633" i="4"/>
  <c r="F633" i="4"/>
  <c r="K632" i="4"/>
  <c r="H632" i="4"/>
  <c r="F632" i="4"/>
  <c r="K631" i="4"/>
  <c r="H631" i="4"/>
  <c r="F631" i="4"/>
  <c r="K630" i="4"/>
  <c r="H630" i="4"/>
  <c r="F630" i="4"/>
  <c r="K629" i="4"/>
  <c r="F629" i="4"/>
  <c r="K628" i="4"/>
  <c r="F628" i="4"/>
  <c r="K627" i="4"/>
  <c r="F627" i="4"/>
  <c r="K626" i="4"/>
  <c r="F626" i="4"/>
  <c r="K625" i="4"/>
  <c r="F625" i="4"/>
  <c r="K624" i="4"/>
  <c r="F624" i="4"/>
  <c r="K620" i="4"/>
  <c r="K619" i="4"/>
  <c r="H619" i="4"/>
  <c r="K618" i="4"/>
  <c r="H618" i="4"/>
  <c r="K617" i="4"/>
  <c r="H617" i="4"/>
  <c r="F617" i="4"/>
  <c r="K616" i="4"/>
  <c r="H616" i="4"/>
  <c r="F616" i="4"/>
  <c r="K615" i="4"/>
  <c r="H615" i="4"/>
  <c r="F615" i="4"/>
  <c r="K614" i="4"/>
  <c r="H614" i="4"/>
  <c r="F614" i="4"/>
  <c r="K613" i="4"/>
  <c r="H613" i="4"/>
  <c r="F613" i="4"/>
  <c r="K612" i="4"/>
  <c r="H612" i="4"/>
  <c r="F612" i="4"/>
  <c r="K611" i="4"/>
  <c r="K610" i="4"/>
  <c r="K609" i="4"/>
  <c r="H609" i="4"/>
  <c r="F609" i="4"/>
  <c r="K608" i="4"/>
  <c r="H608" i="4"/>
  <c r="F608" i="4"/>
  <c r="K607" i="4"/>
  <c r="H607" i="4"/>
  <c r="F607" i="4"/>
  <c r="K606" i="4"/>
  <c r="H606" i="4"/>
  <c r="F606" i="4"/>
  <c r="K605" i="4"/>
  <c r="H605" i="4"/>
  <c r="F605" i="4"/>
  <c r="K604" i="4"/>
  <c r="K603" i="4"/>
  <c r="K602" i="4"/>
  <c r="H602" i="4"/>
  <c r="F602" i="4"/>
  <c r="K601" i="4"/>
  <c r="K600" i="4"/>
  <c r="H600" i="4"/>
  <c r="F600" i="4"/>
  <c r="K599" i="4"/>
  <c r="H599" i="4"/>
  <c r="F599" i="4"/>
  <c r="K598" i="4"/>
  <c r="H598" i="4"/>
  <c r="F598" i="4"/>
  <c r="K597" i="4"/>
  <c r="H597" i="4"/>
  <c r="F597" i="4"/>
  <c r="K596" i="4"/>
  <c r="F596" i="4"/>
  <c r="K595" i="4"/>
  <c r="H595" i="4"/>
  <c r="F595" i="4"/>
  <c r="K594" i="4"/>
  <c r="F594" i="4"/>
  <c r="K593" i="4"/>
  <c r="H593" i="4"/>
  <c r="F593" i="4"/>
  <c r="K592" i="4"/>
  <c r="H592" i="4"/>
  <c r="F592" i="4"/>
  <c r="K591" i="4"/>
  <c r="H591" i="4"/>
  <c r="F591" i="4"/>
  <c r="K590" i="4"/>
  <c r="H590" i="4"/>
  <c r="F590" i="4"/>
  <c r="K589" i="4"/>
  <c r="H589" i="4"/>
  <c r="F589" i="4"/>
  <c r="K588" i="4"/>
  <c r="H588" i="4"/>
  <c r="F588" i="4"/>
  <c r="K587" i="4"/>
  <c r="H587" i="4"/>
  <c r="F587" i="4"/>
  <c r="K586" i="4"/>
  <c r="K585" i="4"/>
  <c r="K584" i="4"/>
  <c r="H584" i="4"/>
  <c r="F584" i="4"/>
  <c r="K583" i="4"/>
  <c r="H583" i="4"/>
  <c r="F583" i="4"/>
  <c r="K582" i="4"/>
  <c r="K581" i="4"/>
  <c r="H581" i="4"/>
  <c r="F581" i="4"/>
  <c r="K580" i="4"/>
  <c r="K579" i="4"/>
  <c r="H579" i="4"/>
  <c r="F579" i="4"/>
  <c r="K578" i="4"/>
  <c r="H578" i="4"/>
  <c r="F578" i="4"/>
  <c r="K577" i="4"/>
  <c r="F577" i="4"/>
  <c r="K576" i="4"/>
  <c r="F576" i="4"/>
  <c r="K575" i="4"/>
  <c r="F575" i="4"/>
  <c r="K574" i="4"/>
  <c r="F574" i="4"/>
  <c r="K573" i="4"/>
  <c r="F573" i="4"/>
  <c r="K572" i="4"/>
  <c r="F572" i="4"/>
  <c r="K571" i="4"/>
  <c r="F571" i="4"/>
  <c r="K570" i="4"/>
  <c r="F570" i="4"/>
  <c r="K569" i="4"/>
  <c r="F569" i="4"/>
  <c r="K568" i="4"/>
  <c r="K567" i="4"/>
  <c r="K566" i="4"/>
  <c r="F566" i="4"/>
  <c r="K565" i="4"/>
  <c r="F565" i="4"/>
  <c r="K564" i="4"/>
  <c r="K563" i="4"/>
  <c r="F563" i="4"/>
  <c r="K562" i="4"/>
  <c r="F562" i="4"/>
  <c r="K561" i="4"/>
  <c r="F561" i="4"/>
  <c r="K560" i="4"/>
  <c r="F560" i="4"/>
  <c r="K559" i="4"/>
  <c r="F559" i="4"/>
  <c r="K558" i="4"/>
  <c r="F558" i="4"/>
  <c r="K557" i="4"/>
  <c r="F557" i="4"/>
  <c r="K556" i="4"/>
  <c r="F556" i="4"/>
  <c r="K552" i="4"/>
  <c r="H552" i="4"/>
  <c r="F552" i="4"/>
  <c r="K551" i="4"/>
  <c r="H551" i="4"/>
  <c r="F551" i="4"/>
  <c r="K550" i="4"/>
  <c r="H550" i="4"/>
  <c r="F550" i="4"/>
  <c r="K549" i="4"/>
  <c r="H549" i="4"/>
  <c r="F549" i="4"/>
  <c r="K548" i="4"/>
  <c r="H548" i="4"/>
  <c r="F548" i="4"/>
  <c r="K547" i="4"/>
  <c r="H547" i="4"/>
  <c r="F547" i="4"/>
  <c r="K546" i="4"/>
  <c r="H546" i="4"/>
  <c r="F546" i="4"/>
  <c r="K545" i="4"/>
  <c r="H545" i="4"/>
  <c r="F545" i="4"/>
  <c r="K544" i="4"/>
  <c r="H544" i="4"/>
  <c r="F544" i="4"/>
  <c r="K543" i="4"/>
  <c r="F543" i="4"/>
  <c r="K542" i="4"/>
  <c r="H542" i="4"/>
  <c r="F542" i="4"/>
  <c r="K541" i="4"/>
  <c r="H541" i="4"/>
  <c r="F541" i="4"/>
  <c r="K540" i="4"/>
  <c r="H540" i="4"/>
  <c r="F540" i="4"/>
  <c r="K539" i="4"/>
  <c r="H539" i="4"/>
  <c r="F539" i="4"/>
  <c r="K538" i="4"/>
  <c r="H538" i="4"/>
  <c r="F538" i="4"/>
  <c r="K537" i="4"/>
  <c r="H537" i="4"/>
  <c r="F537" i="4"/>
  <c r="K536" i="4"/>
  <c r="K535" i="4"/>
  <c r="K534" i="4"/>
  <c r="H534" i="4"/>
  <c r="F534" i="4"/>
  <c r="K533" i="4"/>
  <c r="H533" i="4"/>
  <c r="F533" i="4"/>
  <c r="K532" i="4"/>
  <c r="H532" i="4"/>
  <c r="F532" i="4"/>
  <c r="K531" i="4"/>
  <c r="K530" i="4"/>
  <c r="H530" i="4"/>
  <c r="K529" i="4"/>
  <c r="H529" i="4"/>
  <c r="K528" i="4"/>
  <c r="H528" i="4"/>
  <c r="F528" i="4"/>
  <c r="K527" i="4"/>
  <c r="H527" i="4"/>
  <c r="F527" i="4"/>
  <c r="K526" i="4"/>
  <c r="F526" i="4"/>
  <c r="K525" i="4"/>
  <c r="F525" i="4"/>
  <c r="K524" i="4"/>
  <c r="H524" i="4"/>
  <c r="F524" i="4"/>
  <c r="K523" i="4"/>
  <c r="H523" i="4"/>
  <c r="F523" i="4"/>
  <c r="K522" i="4"/>
  <c r="H522" i="4"/>
  <c r="F522" i="4"/>
  <c r="K521" i="4"/>
  <c r="H521" i="4"/>
  <c r="F521" i="4"/>
  <c r="K520" i="4"/>
  <c r="H520" i="4"/>
  <c r="F520" i="4"/>
  <c r="K519" i="4"/>
  <c r="H519" i="4"/>
  <c r="F519" i="4"/>
  <c r="K518" i="4"/>
  <c r="H518" i="4"/>
  <c r="F518" i="4"/>
  <c r="K517" i="4"/>
  <c r="H517" i="4"/>
  <c r="F517" i="4"/>
  <c r="K516" i="4"/>
  <c r="H516" i="4"/>
  <c r="F516" i="4"/>
  <c r="K515" i="4"/>
  <c r="H515" i="4"/>
  <c r="F515" i="4"/>
  <c r="K514" i="4"/>
  <c r="H514" i="4"/>
  <c r="K513" i="4"/>
  <c r="H513" i="4"/>
  <c r="K512" i="4"/>
  <c r="H512" i="4"/>
  <c r="F512" i="4"/>
  <c r="K511" i="4"/>
  <c r="H511" i="4"/>
  <c r="F511" i="4"/>
  <c r="K510" i="4"/>
  <c r="H510" i="4"/>
  <c r="F510" i="4"/>
  <c r="K509" i="4"/>
  <c r="F509" i="4"/>
  <c r="K508" i="4"/>
  <c r="F508" i="4"/>
  <c r="K507" i="4"/>
  <c r="F507" i="4"/>
  <c r="K506" i="4"/>
  <c r="H506" i="4"/>
  <c r="F506" i="4"/>
  <c r="K505" i="4"/>
  <c r="F505" i="4"/>
  <c r="K504" i="4"/>
  <c r="H504" i="4"/>
  <c r="F504" i="4"/>
  <c r="K503" i="4"/>
  <c r="H503" i="4"/>
  <c r="F503" i="4"/>
  <c r="K499" i="4"/>
  <c r="H499" i="4"/>
  <c r="F499" i="4"/>
  <c r="K498" i="4"/>
  <c r="K497" i="4"/>
  <c r="H497" i="4"/>
  <c r="K496" i="4"/>
  <c r="H496" i="4"/>
  <c r="K495" i="4"/>
  <c r="H495" i="4"/>
  <c r="F495" i="4"/>
  <c r="K494" i="4"/>
  <c r="F494" i="4"/>
  <c r="K493" i="4"/>
  <c r="F493" i="4"/>
  <c r="K492" i="4"/>
  <c r="H492" i="4"/>
  <c r="F492" i="4"/>
  <c r="K491" i="4"/>
  <c r="F491" i="4"/>
  <c r="K490" i="4"/>
  <c r="H490" i="4"/>
  <c r="F490" i="4"/>
  <c r="K489" i="4"/>
  <c r="H489" i="4"/>
  <c r="F489" i="4"/>
  <c r="K488" i="4"/>
  <c r="H488" i="4"/>
  <c r="F488" i="4"/>
  <c r="K487" i="4"/>
  <c r="F487" i="4"/>
  <c r="K486" i="4"/>
  <c r="H486" i="4"/>
  <c r="F486" i="4"/>
  <c r="K485" i="4"/>
  <c r="H485" i="4"/>
  <c r="F485" i="4"/>
  <c r="K484" i="4"/>
  <c r="H484" i="4"/>
  <c r="F484" i="4"/>
  <c r="K483" i="4"/>
  <c r="H483" i="4"/>
  <c r="F483" i="4"/>
  <c r="K482" i="4"/>
  <c r="H482" i="4"/>
  <c r="F482" i="4"/>
  <c r="K481" i="4"/>
  <c r="H481" i="4"/>
  <c r="F481" i="4"/>
  <c r="K480" i="4"/>
  <c r="H480" i="4"/>
  <c r="F480" i="4"/>
  <c r="K479" i="4"/>
  <c r="F479" i="4"/>
  <c r="K478" i="4"/>
  <c r="F478" i="4"/>
  <c r="K477" i="4"/>
  <c r="H477" i="4"/>
  <c r="F477" i="4"/>
  <c r="K476" i="4"/>
  <c r="H476" i="4"/>
  <c r="F476" i="4"/>
  <c r="K475" i="4"/>
  <c r="H475" i="4"/>
  <c r="F475" i="4"/>
  <c r="K474" i="4"/>
  <c r="H474" i="4"/>
  <c r="F474" i="4"/>
  <c r="K473" i="4"/>
  <c r="H473" i="4"/>
  <c r="F473" i="4"/>
  <c r="K472" i="4"/>
  <c r="K471" i="4"/>
  <c r="H471" i="4"/>
  <c r="K470" i="4"/>
  <c r="H470" i="4"/>
  <c r="K469" i="4"/>
  <c r="H469" i="4"/>
  <c r="F469" i="4"/>
  <c r="K468" i="4"/>
  <c r="H468" i="4"/>
  <c r="F468" i="4"/>
  <c r="K467" i="4"/>
  <c r="H467" i="4"/>
  <c r="F467" i="4"/>
  <c r="K466" i="4"/>
  <c r="H466" i="4"/>
  <c r="F466" i="4"/>
  <c r="K465" i="4"/>
  <c r="H465" i="4"/>
  <c r="F465" i="4"/>
  <c r="K464" i="4"/>
  <c r="H464" i="4"/>
  <c r="F464" i="4"/>
  <c r="K463" i="4"/>
  <c r="H463" i="4"/>
  <c r="F463" i="4"/>
  <c r="K462" i="4"/>
  <c r="H462" i="4"/>
  <c r="F462" i="4"/>
  <c r="K461" i="4"/>
  <c r="H461" i="4"/>
  <c r="F461" i="4"/>
  <c r="K460" i="4"/>
  <c r="H460" i="4"/>
  <c r="F460" i="4"/>
  <c r="K459" i="4"/>
  <c r="H459" i="4"/>
  <c r="F459" i="4"/>
  <c r="K458" i="4"/>
  <c r="H458" i="4"/>
  <c r="F458" i="4"/>
  <c r="K457" i="4"/>
  <c r="H457" i="4"/>
  <c r="F457" i="4"/>
  <c r="K456" i="4"/>
  <c r="H456" i="4"/>
  <c r="F456" i="4"/>
  <c r="K455" i="4"/>
  <c r="H455" i="4"/>
  <c r="F455" i="4"/>
  <c r="K454" i="4"/>
  <c r="H454" i="4"/>
  <c r="F454" i="4"/>
  <c r="K453" i="4"/>
  <c r="H453" i="4"/>
  <c r="F453" i="4"/>
  <c r="K452" i="4"/>
  <c r="H452" i="4"/>
  <c r="F452" i="4"/>
  <c r="K451" i="4"/>
  <c r="H451" i="4"/>
  <c r="F451" i="4"/>
  <c r="K450" i="4"/>
  <c r="H450" i="4"/>
  <c r="F450" i="4"/>
  <c r="K449" i="4"/>
  <c r="H449" i="4"/>
  <c r="F449" i="4"/>
  <c r="K448" i="4"/>
  <c r="H448" i="4"/>
  <c r="F448" i="4"/>
  <c r="K447" i="4"/>
  <c r="H447" i="4"/>
  <c r="F447" i="4"/>
  <c r="K446" i="4"/>
  <c r="H446" i="4"/>
  <c r="F446" i="4"/>
  <c r="K445" i="4"/>
  <c r="F445" i="4"/>
  <c r="K444" i="4"/>
  <c r="H444" i="4"/>
  <c r="F444" i="4"/>
  <c r="K443" i="4"/>
  <c r="H443" i="4"/>
  <c r="F443" i="4"/>
  <c r="K442" i="4"/>
  <c r="H442" i="4"/>
  <c r="F442" i="4"/>
  <c r="K441" i="4"/>
  <c r="H441" i="4"/>
  <c r="F441" i="4"/>
  <c r="K440" i="4"/>
  <c r="H440" i="4"/>
  <c r="F440" i="4"/>
  <c r="K439" i="4"/>
  <c r="H439" i="4"/>
  <c r="F439" i="4"/>
  <c r="K438" i="4"/>
  <c r="H438" i="4"/>
  <c r="F438" i="4"/>
  <c r="K437" i="4"/>
  <c r="H437" i="4"/>
  <c r="F437" i="4"/>
  <c r="K436" i="4"/>
  <c r="H436" i="4"/>
  <c r="F436" i="4"/>
  <c r="K435" i="4"/>
  <c r="H435" i="4"/>
  <c r="F435" i="4"/>
  <c r="K434" i="4"/>
  <c r="H434" i="4"/>
  <c r="F434" i="4"/>
  <c r="K433" i="4"/>
  <c r="H433" i="4"/>
  <c r="F433" i="4"/>
  <c r="K432" i="4"/>
  <c r="H432" i="4"/>
  <c r="F432" i="4"/>
  <c r="K431" i="4"/>
  <c r="F431" i="4"/>
  <c r="K430" i="4"/>
  <c r="H430" i="4"/>
  <c r="F430" i="4"/>
  <c r="K429" i="4"/>
  <c r="H429" i="4"/>
  <c r="F429" i="4"/>
  <c r="K428" i="4"/>
  <c r="H428" i="4"/>
  <c r="F428" i="4"/>
  <c r="K427" i="4"/>
  <c r="H427" i="4"/>
  <c r="F427" i="4"/>
  <c r="K426" i="4"/>
  <c r="H426" i="4"/>
  <c r="F426" i="4"/>
  <c r="K425" i="4"/>
  <c r="H425" i="4"/>
  <c r="F425" i="4"/>
  <c r="K424" i="4"/>
  <c r="H424" i="4"/>
  <c r="F424" i="4"/>
  <c r="K423" i="4"/>
  <c r="H423" i="4"/>
  <c r="F423" i="4"/>
  <c r="K422" i="4"/>
  <c r="F422" i="4"/>
  <c r="K421" i="4"/>
  <c r="H421" i="4"/>
  <c r="F421" i="4"/>
  <c r="K420" i="4"/>
  <c r="H420" i="4"/>
  <c r="F420" i="4"/>
  <c r="K419" i="4"/>
  <c r="H419" i="4"/>
  <c r="F419" i="4"/>
  <c r="K418" i="4"/>
  <c r="H418" i="4"/>
  <c r="F418" i="4"/>
  <c r="K417" i="4"/>
  <c r="H417" i="4"/>
  <c r="F417" i="4"/>
  <c r="K416" i="4"/>
  <c r="F416" i="4"/>
  <c r="K415" i="4"/>
  <c r="H415" i="4"/>
  <c r="F415" i="4"/>
  <c r="K414" i="4"/>
  <c r="H414" i="4"/>
  <c r="F414" i="4"/>
  <c r="K410" i="4"/>
  <c r="H410" i="4"/>
  <c r="F410" i="4"/>
  <c r="K409" i="4"/>
  <c r="H409" i="4"/>
  <c r="F409" i="4"/>
  <c r="K408" i="4"/>
  <c r="H408" i="4"/>
  <c r="F408" i="4"/>
  <c r="K407" i="4"/>
  <c r="H407" i="4"/>
  <c r="F407" i="4"/>
  <c r="K406" i="4"/>
  <c r="F406" i="4"/>
  <c r="K405" i="4"/>
  <c r="F405" i="4"/>
  <c r="K404" i="4"/>
  <c r="H404" i="4"/>
  <c r="F404" i="4"/>
  <c r="K403" i="4"/>
  <c r="F403" i="4"/>
  <c r="K402" i="4"/>
  <c r="H402" i="4"/>
  <c r="F402" i="4"/>
  <c r="K401" i="4"/>
  <c r="H401" i="4"/>
  <c r="F401" i="4"/>
  <c r="K400" i="4"/>
  <c r="H400" i="4"/>
  <c r="F400" i="4"/>
  <c r="K399" i="4"/>
  <c r="H399" i="4"/>
  <c r="F399" i="4"/>
  <c r="K398" i="4"/>
  <c r="H398" i="4"/>
  <c r="F398" i="4"/>
  <c r="K397" i="4"/>
  <c r="H397" i="4"/>
  <c r="F397" i="4"/>
  <c r="K396" i="4"/>
  <c r="H396" i="4"/>
  <c r="F396" i="4"/>
  <c r="K395" i="4"/>
  <c r="K394" i="4"/>
  <c r="H394" i="4"/>
  <c r="K393" i="4"/>
  <c r="H393" i="4"/>
  <c r="K392" i="4"/>
  <c r="H392" i="4"/>
  <c r="F392" i="4"/>
  <c r="K391" i="4"/>
  <c r="H391" i="4"/>
  <c r="F391" i="4"/>
  <c r="K390" i="4"/>
  <c r="H390" i="4"/>
  <c r="F390" i="4"/>
  <c r="K389" i="4"/>
  <c r="H389" i="4"/>
  <c r="F389" i="4"/>
  <c r="K388" i="4"/>
  <c r="H388" i="4"/>
  <c r="F388" i="4"/>
  <c r="K387" i="4"/>
  <c r="H387" i="4"/>
  <c r="F387" i="4"/>
  <c r="K386" i="4"/>
  <c r="H386" i="4"/>
  <c r="F386" i="4"/>
  <c r="K385" i="4"/>
  <c r="H385" i="4"/>
  <c r="F385" i="4"/>
  <c r="K384" i="4"/>
  <c r="H384" i="4"/>
  <c r="F384" i="4"/>
  <c r="K383" i="4"/>
  <c r="H383" i="4"/>
  <c r="F383" i="4"/>
  <c r="K382" i="4"/>
  <c r="H382" i="4"/>
  <c r="F382" i="4"/>
  <c r="K381" i="4"/>
  <c r="H381" i="4"/>
  <c r="F381" i="4"/>
  <c r="K380" i="4"/>
  <c r="H380" i="4"/>
  <c r="F380" i="4"/>
  <c r="K379" i="4"/>
  <c r="H379" i="4"/>
  <c r="F379" i="4"/>
  <c r="K378" i="4"/>
  <c r="H378" i="4"/>
  <c r="F378" i="4"/>
  <c r="K377" i="4"/>
  <c r="H377" i="4"/>
  <c r="F377" i="4"/>
  <c r="K376" i="4"/>
  <c r="K375" i="4"/>
  <c r="K374" i="4"/>
  <c r="H374" i="4"/>
  <c r="F374" i="4"/>
  <c r="K373" i="4"/>
  <c r="H373" i="4"/>
  <c r="F373" i="4"/>
  <c r="K372" i="4"/>
  <c r="H372" i="4"/>
  <c r="F372" i="4"/>
  <c r="K371" i="4"/>
  <c r="H371" i="4"/>
  <c r="F371" i="4"/>
  <c r="K370" i="4"/>
  <c r="H370" i="4"/>
  <c r="F370" i="4"/>
  <c r="K369" i="4"/>
  <c r="K368" i="4"/>
  <c r="K367" i="4"/>
  <c r="H367" i="4"/>
  <c r="F367" i="4"/>
  <c r="K366" i="4"/>
  <c r="H366" i="4"/>
  <c r="F366" i="4"/>
  <c r="K365" i="4"/>
  <c r="K364" i="4"/>
  <c r="H364" i="4"/>
  <c r="F364" i="4"/>
  <c r="K363" i="4"/>
  <c r="H363" i="4"/>
  <c r="F363" i="4"/>
  <c r="K362" i="4"/>
  <c r="F362" i="4"/>
  <c r="K361" i="4"/>
  <c r="F361" i="4"/>
  <c r="K360" i="4"/>
  <c r="F360" i="4"/>
  <c r="K359" i="4"/>
  <c r="F359" i="4"/>
  <c r="K358" i="4"/>
  <c r="F358" i="4"/>
  <c r="K357" i="4"/>
  <c r="H357" i="4"/>
  <c r="F357" i="4"/>
  <c r="K356" i="4"/>
  <c r="H356" i="4"/>
  <c r="F356" i="4"/>
  <c r="K355" i="4"/>
  <c r="H355" i="4"/>
  <c r="F355" i="4"/>
  <c r="K354" i="4"/>
  <c r="H354" i="4"/>
  <c r="F354" i="4"/>
  <c r="K353" i="4"/>
  <c r="H353" i="4"/>
  <c r="F353" i="4"/>
  <c r="K350" i="4"/>
  <c r="H350" i="4"/>
  <c r="F350" i="4"/>
  <c r="K349" i="4"/>
  <c r="K348" i="4"/>
  <c r="H348" i="4"/>
  <c r="F348" i="4"/>
  <c r="K347" i="4"/>
  <c r="H347" i="4"/>
  <c r="F347" i="4"/>
  <c r="K346" i="4"/>
  <c r="K345" i="4"/>
  <c r="H345" i="4"/>
  <c r="F345" i="4"/>
  <c r="K344" i="4"/>
  <c r="F344" i="4"/>
  <c r="K343" i="4"/>
  <c r="F343" i="4"/>
  <c r="K342" i="4"/>
  <c r="H342" i="4"/>
  <c r="F342" i="4"/>
  <c r="K341" i="4"/>
  <c r="H341" i="4"/>
  <c r="F341" i="4"/>
  <c r="K340" i="4"/>
  <c r="H340" i="4"/>
  <c r="F340" i="4"/>
  <c r="K339" i="4"/>
  <c r="H339" i="4"/>
  <c r="F339" i="4"/>
  <c r="K338" i="4"/>
  <c r="F338" i="4"/>
  <c r="K337" i="4"/>
  <c r="H337" i="4"/>
  <c r="F337" i="4"/>
  <c r="K336" i="4"/>
  <c r="H336" i="4"/>
  <c r="F336" i="4"/>
  <c r="K335" i="4"/>
  <c r="H335" i="4"/>
  <c r="F335" i="4"/>
  <c r="K334" i="4"/>
  <c r="H334" i="4"/>
  <c r="F334" i="4"/>
  <c r="K330" i="4"/>
  <c r="H330" i="4"/>
  <c r="F330" i="4"/>
  <c r="K329" i="4"/>
  <c r="K328" i="4"/>
  <c r="H328" i="4"/>
  <c r="K327" i="4"/>
  <c r="H327" i="4"/>
  <c r="K326" i="4"/>
  <c r="H326" i="4"/>
  <c r="F326" i="4"/>
  <c r="K325" i="4"/>
  <c r="F325" i="4"/>
  <c r="K324" i="4"/>
  <c r="H324" i="4"/>
  <c r="F324" i="4"/>
  <c r="K323" i="4"/>
  <c r="H323" i="4"/>
  <c r="F323" i="4"/>
  <c r="K322" i="4"/>
  <c r="H322" i="4"/>
  <c r="F322" i="4"/>
  <c r="K321" i="4"/>
  <c r="H321" i="4"/>
  <c r="F321" i="4"/>
  <c r="K320" i="4"/>
  <c r="H320" i="4"/>
  <c r="F320" i="4"/>
  <c r="K319" i="4"/>
  <c r="F319" i="4"/>
  <c r="K318" i="4"/>
  <c r="F318" i="4"/>
  <c r="K317" i="4"/>
  <c r="H317" i="4"/>
  <c r="F317" i="4"/>
  <c r="K316" i="4"/>
  <c r="H316" i="4"/>
  <c r="F316" i="4"/>
  <c r="K315" i="4"/>
  <c r="H315" i="4"/>
  <c r="F315" i="4"/>
  <c r="K314" i="4"/>
  <c r="H314" i="4"/>
  <c r="F314" i="4"/>
  <c r="K313" i="4"/>
  <c r="H313" i="4"/>
  <c r="F313" i="4"/>
  <c r="K312" i="4"/>
  <c r="K311" i="4"/>
  <c r="H311" i="4"/>
  <c r="K310" i="4"/>
  <c r="H310" i="4"/>
  <c r="K309" i="4"/>
  <c r="H309" i="4"/>
  <c r="F309" i="4"/>
  <c r="K308" i="4"/>
  <c r="H308" i="4"/>
  <c r="F308" i="4"/>
  <c r="K307" i="4"/>
  <c r="H307" i="4"/>
  <c r="F307" i="4"/>
  <c r="K306" i="4"/>
  <c r="H306" i="4"/>
  <c r="F306" i="4"/>
  <c r="K305" i="4"/>
  <c r="H305" i="4"/>
  <c r="F305" i="4"/>
  <c r="K304" i="4"/>
  <c r="H304" i="4"/>
  <c r="F304" i="4"/>
  <c r="K303" i="4"/>
  <c r="H303" i="4"/>
  <c r="F303" i="4"/>
  <c r="K302" i="4"/>
  <c r="H302" i="4"/>
  <c r="F302" i="4"/>
  <c r="K301" i="4"/>
  <c r="H301" i="4"/>
  <c r="F301" i="4"/>
  <c r="K300" i="4"/>
  <c r="H300" i="4"/>
  <c r="F300" i="4"/>
  <c r="K299" i="4"/>
  <c r="H299" i="4"/>
  <c r="F299" i="4"/>
  <c r="K298" i="4"/>
  <c r="K297" i="4"/>
  <c r="K296" i="4"/>
  <c r="H296" i="4"/>
  <c r="F296" i="4"/>
  <c r="K295" i="4"/>
  <c r="H295" i="4"/>
  <c r="F295" i="4"/>
  <c r="K294" i="4"/>
  <c r="H294" i="4"/>
  <c r="F294" i="4"/>
  <c r="K293" i="4"/>
  <c r="H293" i="4"/>
  <c r="F293" i="4"/>
  <c r="K292" i="4"/>
  <c r="H292" i="4"/>
  <c r="F292" i="4"/>
  <c r="K291" i="4"/>
  <c r="H291" i="4"/>
  <c r="F291" i="4"/>
  <c r="K290" i="4"/>
  <c r="H290" i="4"/>
  <c r="F290" i="4"/>
  <c r="K289" i="4"/>
  <c r="H289" i="4"/>
  <c r="F289" i="4"/>
  <c r="K288" i="4"/>
  <c r="H288" i="4"/>
  <c r="F288" i="4"/>
  <c r="K287" i="4"/>
  <c r="H287" i="4"/>
  <c r="F287" i="4"/>
  <c r="K286" i="4"/>
  <c r="H286" i="4"/>
  <c r="F286" i="4"/>
  <c r="K285" i="4"/>
  <c r="H285" i="4"/>
  <c r="F285" i="4"/>
  <c r="K284" i="4"/>
  <c r="H284" i="4"/>
  <c r="F284" i="4"/>
  <c r="K283" i="4"/>
  <c r="H283" i="4"/>
  <c r="F283" i="4"/>
  <c r="K282" i="4"/>
  <c r="H282" i="4"/>
  <c r="F282" i="4"/>
  <c r="K281" i="4"/>
  <c r="H281" i="4"/>
  <c r="F281" i="4"/>
  <c r="K280" i="4"/>
  <c r="H280" i="4"/>
  <c r="F280" i="4"/>
  <c r="K279" i="4"/>
  <c r="H279" i="4"/>
  <c r="F279" i="4"/>
  <c r="K278" i="4"/>
  <c r="F278" i="4"/>
  <c r="K277" i="4"/>
  <c r="H277" i="4"/>
  <c r="F277" i="4"/>
  <c r="K276" i="4"/>
  <c r="H276" i="4"/>
  <c r="F276" i="4"/>
  <c r="K275" i="4"/>
  <c r="H275" i="4"/>
  <c r="F275" i="4"/>
  <c r="K274" i="4"/>
  <c r="H274" i="4"/>
  <c r="F274" i="4"/>
  <c r="K270" i="4"/>
  <c r="H270" i="4"/>
  <c r="F270" i="4"/>
  <c r="K269" i="4"/>
  <c r="H269" i="4"/>
  <c r="F269" i="4"/>
  <c r="K268" i="4"/>
  <c r="H268" i="4"/>
  <c r="F268" i="4"/>
  <c r="K267" i="4"/>
  <c r="H267" i="4"/>
  <c r="F267" i="4"/>
  <c r="K266" i="4"/>
  <c r="F266" i="4"/>
  <c r="K265" i="4"/>
  <c r="F265" i="4"/>
  <c r="K264" i="4"/>
  <c r="H264" i="4"/>
  <c r="F264" i="4"/>
  <c r="K263" i="4"/>
  <c r="H263" i="4"/>
  <c r="F263" i="4"/>
  <c r="K262" i="4"/>
  <c r="F262" i="4"/>
  <c r="K261" i="4"/>
  <c r="F261" i="4"/>
  <c r="K260" i="4"/>
  <c r="F260" i="4"/>
  <c r="K259" i="4"/>
  <c r="H259" i="4"/>
  <c r="F259" i="4"/>
  <c r="K258" i="4"/>
  <c r="H258" i="4"/>
  <c r="F258" i="4"/>
  <c r="K257" i="4"/>
  <c r="H257" i="4"/>
  <c r="F257" i="4"/>
  <c r="K256" i="4"/>
  <c r="H256" i="4"/>
  <c r="F256" i="4"/>
  <c r="K255" i="4"/>
  <c r="K254" i="4"/>
  <c r="H254" i="4"/>
  <c r="K253" i="4"/>
  <c r="H253" i="4"/>
  <c r="K252" i="4"/>
  <c r="H252" i="4"/>
  <c r="F252" i="4"/>
  <c r="K251" i="4"/>
  <c r="H251" i="4"/>
  <c r="F251" i="4"/>
  <c r="K250" i="4"/>
  <c r="H250" i="4"/>
  <c r="F250" i="4"/>
  <c r="K249" i="4"/>
  <c r="F249" i="4"/>
  <c r="K248" i="4"/>
  <c r="H248" i="4"/>
  <c r="F248" i="4"/>
  <c r="K247" i="4"/>
  <c r="H247" i="4"/>
  <c r="K246" i="4"/>
  <c r="H246" i="4"/>
  <c r="F246" i="4"/>
  <c r="K245" i="4"/>
  <c r="H245" i="4"/>
  <c r="F245" i="4"/>
  <c r="K244" i="4"/>
  <c r="H244" i="4"/>
  <c r="F244" i="4"/>
  <c r="K243" i="4"/>
  <c r="H243" i="4"/>
  <c r="F243" i="4"/>
  <c r="K242" i="4"/>
  <c r="H242" i="4"/>
  <c r="F242" i="4"/>
  <c r="K241" i="4"/>
  <c r="H241" i="4"/>
  <c r="F241" i="4"/>
  <c r="K240" i="4"/>
  <c r="H240" i="4"/>
  <c r="F240" i="4"/>
  <c r="K239" i="4"/>
  <c r="H239" i="4"/>
  <c r="F239" i="4"/>
  <c r="K238" i="4"/>
  <c r="K237" i="4"/>
  <c r="H237" i="4"/>
  <c r="K236" i="4"/>
  <c r="H236" i="4"/>
  <c r="K235" i="4"/>
  <c r="H235" i="4"/>
  <c r="F235" i="4"/>
  <c r="K234" i="4"/>
  <c r="H234" i="4"/>
  <c r="F234" i="4"/>
  <c r="K233" i="4"/>
  <c r="H233" i="4"/>
  <c r="F233" i="4"/>
  <c r="K232" i="4"/>
  <c r="H232" i="4"/>
  <c r="F232" i="4"/>
  <c r="K231" i="4"/>
  <c r="F231" i="4"/>
  <c r="K230" i="4"/>
  <c r="H230" i="4"/>
  <c r="F230" i="4"/>
  <c r="K229" i="4"/>
  <c r="H229" i="4"/>
  <c r="F229" i="4"/>
  <c r="K228" i="4"/>
  <c r="H228" i="4"/>
  <c r="F228" i="4"/>
  <c r="K227" i="4"/>
  <c r="H227" i="4"/>
  <c r="F227" i="4"/>
  <c r="K226" i="4"/>
  <c r="H226" i="4"/>
  <c r="F226" i="4"/>
  <c r="K225" i="4"/>
  <c r="H225" i="4"/>
  <c r="F225" i="4"/>
  <c r="K224" i="4"/>
  <c r="H224" i="4"/>
  <c r="F224" i="4"/>
  <c r="K223" i="4"/>
  <c r="H223" i="4"/>
  <c r="F223" i="4"/>
  <c r="K222" i="4"/>
  <c r="H222" i="4"/>
  <c r="F222" i="4"/>
  <c r="K221" i="4"/>
  <c r="H221" i="4"/>
  <c r="F221" i="4"/>
  <c r="K220" i="4"/>
  <c r="H220" i="4"/>
  <c r="F220" i="4"/>
  <c r="K219" i="4"/>
  <c r="F219" i="4"/>
  <c r="K218" i="4"/>
  <c r="H218" i="4"/>
  <c r="F218" i="4"/>
  <c r="K217" i="4"/>
  <c r="F217" i="4"/>
  <c r="K216" i="4"/>
  <c r="H216" i="4"/>
  <c r="F216" i="4"/>
  <c r="K215" i="4"/>
  <c r="H215" i="4"/>
  <c r="F215" i="4"/>
  <c r="K214" i="4"/>
  <c r="H214" i="4"/>
  <c r="F214" i="4"/>
  <c r="K213" i="4"/>
  <c r="H213" i="4"/>
  <c r="F213" i="4"/>
  <c r="K212" i="4"/>
  <c r="H212" i="4"/>
  <c r="F212" i="4"/>
  <c r="K211" i="4"/>
  <c r="H211" i="4"/>
  <c r="F211" i="4"/>
  <c r="K210" i="4"/>
  <c r="H210" i="4"/>
  <c r="F210" i="4"/>
  <c r="K209" i="4"/>
  <c r="H209" i="4"/>
  <c r="F209" i="4"/>
  <c r="K208" i="4"/>
  <c r="F208" i="4"/>
  <c r="K207" i="4"/>
  <c r="H207" i="4"/>
  <c r="F207" i="4"/>
  <c r="K206" i="4"/>
  <c r="H206" i="4"/>
  <c r="F206" i="4"/>
  <c r="K205" i="4"/>
  <c r="H205" i="4"/>
  <c r="F205" i="4"/>
  <c r="K204" i="4"/>
  <c r="H204" i="4"/>
  <c r="F204" i="4"/>
  <c r="K203" i="4"/>
  <c r="H203" i="4"/>
  <c r="F203" i="4"/>
  <c r="K202" i="4"/>
  <c r="F202" i="4"/>
  <c r="K201" i="4"/>
  <c r="H201" i="4"/>
  <c r="F201" i="4"/>
  <c r="K200" i="4"/>
  <c r="H200" i="4"/>
  <c r="F200" i="4"/>
  <c r="K199" i="4"/>
  <c r="H199" i="4"/>
  <c r="F199" i="4"/>
  <c r="K198" i="4"/>
  <c r="H198" i="4"/>
  <c r="F198" i="4"/>
  <c r="K197" i="4"/>
  <c r="H197" i="4"/>
  <c r="F197" i="4"/>
  <c r="K196" i="4"/>
  <c r="H196" i="4"/>
  <c r="F196" i="4"/>
  <c r="K195" i="4"/>
  <c r="H195" i="4"/>
  <c r="F195" i="4"/>
  <c r="K194" i="4"/>
  <c r="H194" i="4"/>
  <c r="F194" i="4"/>
  <c r="K193" i="4"/>
  <c r="H193" i="4"/>
  <c r="F193" i="4"/>
  <c r="K192" i="4"/>
  <c r="H192" i="4"/>
  <c r="F192" i="4"/>
  <c r="K191" i="4"/>
  <c r="H191" i="4"/>
  <c r="F191" i="4"/>
  <c r="K190" i="4"/>
  <c r="H190" i="4"/>
  <c r="F190" i="4"/>
  <c r="K189" i="4"/>
  <c r="H189" i="4"/>
  <c r="F189" i="4"/>
  <c r="K188" i="4"/>
  <c r="H188" i="4"/>
  <c r="F188" i="4"/>
  <c r="K187" i="4"/>
  <c r="H187" i="4"/>
  <c r="F187" i="4"/>
  <c r="K186" i="4"/>
  <c r="F186" i="4"/>
  <c r="K185" i="4"/>
  <c r="H185" i="4"/>
  <c r="F185" i="4"/>
  <c r="K184" i="4"/>
  <c r="H184" i="4"/>
  <c r="F184" i="4"/>
  <c r="K183" i="4"/>
  <c r="H183" i="4"/>
  <c r="F183" i="4"/>
  <c r="K182" i="4"/>
  <c r="H182" i="4"/>
  <c r="F182" i="4"/>
  <c r="K181" i="4"/>
  <c r="H181" i="4"/>
  <c r="F181" i="4"/>
  <c r="K180" i="4"/>
  <c r="H180" i="4"/>
  <c r="F180" i="4"/>
  <c r="K179" i="4"/>
  <c r="H179" i="4"/>
  <c r="F179" i="4"/>
  <c r="K175" i="4"/>
  <c r="H175" i="4"/>
  <c r="F175" i="4"/>
  <c r="K174" i="4"/>
  <c r="H174" i="4"/>
  <c r="F174" i="4"/>
  <c r="K173" i="4"/>
  <c r="H173" i="4"/>
  <c r="F173" i="4"/>
  <c r="K172" i="4"/>
  <c r="F172" i="4"/>
  <c r="K171" i="4"/>
  <c r="F171" i="4"/>
  <c r="K170" i="4"/>
  <c r="H170" i="4"/>
  <c r="F170" i="4"/>
  <c r="K169" i="4"/>
  <c r="H169" i="4"/>
  <c r="F169" i="4"/>
  <c r="K168" i="4"/>
  <c r="K167" i="4"/>
  <c r="K166" i="4"/>
  <c r="K165" i="4"/>
  <c r="H165" i="4"/>
  <c r="F165" i="4"/>
  <c r="K164" i="4"/>
  <c r="H164" i="4"/>
  <c r="F164" i="4"/>
  <c r="K163" i="4"/>
  <c r="H163" i="4"/>
  <c r="F163" i="4"/>
  <c r="K162" i="4"/>
  <c r="H162" i="4"/>
  <c r="F162" i="4"/>
  <c r="K161" i="4"/>
  <c r="F161" i="4"/>
  <c r="K160" i="4"/>
  <c r="H160" i="4"/>
  <c r="F160" i="4"/>
  <c r="K159" i="4"/>
  <c r="H159" i="4"/>
  <c r="F159" i="4"/>
  <c r="K158" i="4"/>
  <c r="H158" i="4"/>
  <c r="F158" i="4"/>
  <c r="K157" i="4"/>
  <c r="F157" i="4"/>
  <c r="K156" i="4"/>
  <c r="F156" i="4"/>
  <c r="K155" i="4"/>
  <c r="H155" i="4"/>
  <c r="F155" i="4"/>
  <c r="K154" i="4"/>
  <c r="H154" i="4"/>
  <c r="F154" i="4"/>
  <c r="K153" i="4"/>
  <c r="H153" i="4"/>
  <c r="F153" i="4"/>
  <c r="K152" i="4"/>
  <c r="H152" i="4"/>
  <c r="F152" i="4"/>
  <c r="K151" i="4"/>
  <c r="H151" i="4"/>
  <c r="F151" i="4"/>
  <c r="K150" i="4"/>
  <c r="H150" i="4"/>
  <c r="F150" i="4"/>
  <c r="K149" i="4"/>
  <c r="H149" i="4"/>
  <c r="F149" i="4"/>
  <c r="K148" i="4"/>
  <c r="H148" i="4"/>
  <c r="F148" i="4"/>
  <c r="K147" i="4"/>
  <c r="H147" i="4"/>
  <c r="F147" i="4"/>
  <c r="K146" i="4"/>
  <c r="H146" i="4"/>
  <c r="F146" i="4"/>
  <c r="K145" i="4"/>
  <c r="H145" i="4"/>
  <c r="F145" i="4"/>
  <c r="K144" i="4"/>
  <c r="F144" i="4"/>
  <c r="K143" i="4"/>
  <c r="H143" i="4"/>
  <c r="F143" i="4"/>
  <c r="K142" i="4"/>
  <c r="F142" i="4"/>
  <c r="K141" i="4"/>
  <c r="F141" i="4"/>
  <c r="K140" i="4"/>
  <c r="F140" i="4"/>
  <c r="K139" i="4"/>
  <c r="H139" i="4"/>
  <c r="F139" i="4"/>
  <c r="K138" i="4"/>
  <c r="F138" i="4"/>
  <c r="K137" i="4"/>
  <c r="F137" i="4"/>
  <c r="K136" i="4"/>
  <c r="F136" i="4"/>
  <c r="K135" i="4"/>
  <c r="F135" i="4"/>
  <c r="K134" i="4"/>
  <c r="F134" i="4"/>
  <c r="K133" i="4"/>
  <c r="F133" i="4"/>
  <c r="K132" i="4"/>
  <c r="F132" i="4"/>
  <c r="K131" i="4"/>
  <c r="F131" i="4"/>
  <c r="K130" i="4"/>
  <c r="F130" i="4"/>
  <c r="K129" i="4"/>
  <c r="H129" i="4"/>
  <c r="F129" i="4"/>
  <c r="K128" i="4"/>
  <c r="H128" i="4"/>
  <c r="F128" i="4"/>
  <c r="K127" i="4"/>
  <c r="H127" i="4"/>
  <c r="F127" i="4"/>
  <c r="K126" i="4"/>
  <c r="H126" i="4"/>
  <c r="F126" i="4"/>
  <c r="K125" i="4"/>
  <c r="H125" i="4"/>
  <c r="F125" i="4"/>
  <c r="K124" i="4"/>
  <c r="H124" i="4"/>
  <c r="F124" i="4"/>
  <c r="K123" i="4"/>
  <c r="H123" i="4"/>
  <c r="F123" i="4"/>
  <c r="K122" i="4"/>
  <c r="H122" i="4"/>
  <c r="F122" i="4"/>
  <c r="K121" i="4"/>
  <c r="H121" i="4"/>
  <c r="F121" i="4"/>
  <c r="K120" i="4"/>
  <c r="H120" i="4"/>
  <c r="F120" i="4"/>
  <c r="K119" i="4"/>
  <c r="H119" i="4"/>
  <c r="F119" i="4"/>
  <c r="K118" i="4"/>
  <c r="H118" i="4"/>
  <c r="F118" i="4"/>
  <c r="K117" i="4"/>
  <c r="H117" i="4"/>
  <c r="F117" i="4"/>
  <c r="K116" i="4"/>
  <c r="H116" i="4"/>
  <c r="F116" i="4"/>
  <c r="K115" i="4"/>
  <c r="H115" i="4"/>
  <c r="F115" i="4"/>
  <c r="K114" i="4"/>
  <c r="H114" i="4"/>
  <c r="F114" i="4"/>
  <c r="K113" i="4"/>
  <c r="H113" i="4"/>
  <c r="F113" i="4"/>
  <c r="K112" i="4"/>
  <c r="F112" i="4"/>
  <c r="K111" i="4"/>
  <c r="H111" i="4"/>
  <c r="F111" i="4"/>
  <c r="K110" i="4"/>
  <c r="H110" i="4"/>
  <c r="F110" i="4"/>
  <c r="K109" i="4"/>
  <c r="H109" i="4"/>
  <c r="F109" i="4"/>
  <c r="K108" i="4"/>
  <c r="H108" i="4"/>
  <c r="F108" i="4"/>
  <c r="K107" i="4"/>
  <c r="H107" i="4"/>
  <c r="F107" i="4"/>
  <c r="K103" i="4"/>
  <c r="H103" i="4"/>
  <c r="F103" i="4"/>
  <c r="K102" i="4"/>
  <c r="H102" i="4"/>
  <c r="F102" i="4"/>
  <c r="K101" i="4"/>
  <c r="H101" i="4"/>
  <c r="F101" i="4"/>
  <c r="K100" i="4"/>
  <c r="F100" i="4"/>
  <c r="K99" i="4"/>
  <c r="F99" i="4"/>
  <c r="K98" i="4"/>
  <c r="H98" i="4"/>
  <c r="F98" i="4"/>
  <c r="K97" i="4"/>
  <c r="K96" i="4"/>
  <c r="H96" i="4"/>
  <c r="K95" i="4"/>
  <c r="H95" i="4"/>
  <c r="K94" i="4"/>
  <c r="H94" i="4"/>
  <c r="F94" i="4"/>
  <c r="K93" i="4"/>
  <c r="H93" i="4"/>
  <c r="F93" i="4"/>
  <c r="K92" i="4"/>
  <c r="H92" i="4"/>
  <c r="F92" i="4"/>
  <c r="K91" i="4"/>
  <c r="H91" i="4"/>
  <c r="F91" i="4"/>
  <c r="K90" i="4"/>
  <c r="H90" i="4"/>
  <c r="F90" i="4"/>
  <c r="K89" i="4"/>
  <c r="H89" i="4"/>
  <c r="F89" i="4"/>
  <c r="K88" i="4"/>
  <c r="H88" i="4"/>
  <c r="F88" i="4"/>
  <c r="K87" i="4"/>
  <c r="H87" i="4"/>
  <c r="F87" i="4"/>
  <c r="K86" i="4"/>
  <c r="H86" i="4"/>
  <c r="F86" i="4"/>
  <c r="K85" i="4"/>
  <c r="H85" i="4"/>
  <c r="F85" i="4"/>
  <c r="K84" i="4"/>
  <c r="H84" i="4"/>
  <c r="F84" i="4"/>
  <c r="K83" i="4"/>
  <c r="H83" i="4"/>
  <c r="F83" i="4"/>
  <c r="K82" i="4"/>
  <c r="F82" i="4"/>
  <c r="K81" i="4"/>
  <c r="F81" i="4"/>
  <c r="K76" i="4"/>
  <c r="H76" i="4"/>
  <c r="F76" i="4"/>
  <c r="K75" i="4"/>
  <c r="H75" i="4"/>
  <c r="F75" i="4"/>
  <c r="K74" i="4"/>
  <c r="F74" i="4"/>
  <c r="K73" i="4"/>
  <c r="F73" i="4"/>
  <c r="K72" i="4"/>
  <c r="H72" i="4"/>
  <c r="F72" i="4"/>
  <c r="K71" i="4"/>
  <c r="H71" i="4"/>
  <c r="F71" i="4"/>
  <c r="K70" i="4"/>
  <c r="H70" i="4"/>
  <c r="F70" i="4"/>
  <c r="K69" i="4"/>
  <c r="H69" i="4"/>
  <c r="F69" i="4"/>
  <c r="K68" i="4"/>
  <c r="H68" i="4"/>
  <c r="F68" i="4"/>
  <c r="K67" i="4"/>
  <c r="H67" i="4"/>
  <c r="F67" i="4"/>
  <c r="K66" i="4"/>
  <c r="F66" i="4"/>
  <c r="K65" i="4"/>
  <c r="F65" i="4"/>
  <c r="K64" i="4"/>
  <c r="H64" i="4"/>
  <c r="F64" i="4"/>
  <c r="K63" i="4"/>
  <c r="H63" i="4"/>
  <c r="F63" i="4"/>
  <c r="K62" i="4"/>
  <c r="H62" i="4"/>
  <c r="F62" i="4"/>
  <c r="K61" i="4"/>
  <c r="H61" i="4"/>
  <c r="F61" i="4"/>
  <c r="K60" i="4"/>
  <c r="H60" i="4"/>
  <c r="F60" i="4"/>
  <c r="K56" i="4"/>
  <c r="H56" i="4"/>
  <c r="F56" i="4"/>
  <c r="K55" i="4"/>
  <c r="H55" i="4"/>
  <c r="F55" i="4"/>
  <c r="K51" i="4"/>
  <c r="F51" i="4"/>
  <c r="K50" i="4"/>
  <c r="F50" i="4"/>
  <c r="K49" i="4"/>
  <c r="F49" i="4"/>
  <c r="K48" i="4"/>
  <c r="F48" i="4"/>
  <c r="K47" i="4"/>
  <c r="F47" i="4"/>
  <c r="K43" i="4"/>
  <c r="F43" i="4"/>
  <c r="K42" i="4"/>
  <c r="F42" i="4"/>
  <c r="K38" i="4"/>
  <c r="H38" i="4"/>
  <c r="F38" i="4"/>
  <c r="K37" i="4"/>
  <c r="H37" i="4"/>
  <c r="F37" i="4"/>
  <c r="K33" i="4"/>
  <c r="F33" i="4"/>
  <c r="K32" i="4"/>
  <c r="F32" i="4"/>
  <c r="K31" i="4"/>
  <c r="F31" i="4"/>
  <c r="K30" i="4"/>
  <c r="F30" i="4"/>
  <c r="K29" i="4"/>
  <c r="F29" i="4"/>
  <c r="K25" i="4"/>
  <c r="H25" i="4"/>
  <c r="F25" i="4"/>
  <c r="K24" i="4"/>
  <c r="H24" i="4"/>
  <c r="F24" i="4"/>
  <c r="K23" i="4"/>
  <c r="F23" i="4"/>
  <c r="K22" i="4"/>
  <c r="H22" i="4"/>
  <c r="F22" i="4"/>
  <c r="K21" i="4"/>
  <c r="H21" i="4"/>
  <c r="F21" i="4"/>
  <c r="K20" i="4"/>
  <c r="H20" i="4"/>
  <c r="F20" i="4"/>
  <c r="K19" i="4"/>
  <c r="H19" i="4"/>
  <c r="F19" i="4"/>
  <c r="K18" i="4"/>
  <c r="H18" i="4"/>
  <c r="F18" i="4"/>
  <c r="K17" i="4"/>
  <c r="H17" i="4"/>
  <c r="F17" i="4"/>
  <c r="K16" i="4"/>
  <c r="H16" i="4"/>
  <c r="F16" i="4"/>
  <c r="K15" i="4"/>
  <c r="H15" i="4"/>
  <c r="F15" i="4"/>
</calcChain>
</file>

<file path=xl/sharedStrings.xml><?xml version="1.0" encoding="utf-8"?>
<sst xmlns="http://schemas.openxmlformats.org/spreadsheetml/2006/main" count="1195" uniqueCount="561">
  <si>
    <t xml:space="preserve">                 NO MINIMUM ORDER OR DROP SHIP FEES (USA ONLY)</t>
  </si>
  <si>
    <t>To place an order:</t>
  </si>
  <si>
    <r>
      <t xml:space="preserve"> info@BenchmarkScientific.com </t>
    </r>
    <r>
      <rPr>
        <b/>
        <u/>
        <sz val="12"/>
        <rFont val="Arial"/>
        <family val="2"/>
      </rPr>
      <t xml:space="preserve"> by Fax-</t>
    </r>
    <r>
      <rPr>
        <b/>
        <u/>
        <sz val="12"/>
        <color indexed="12"/>
        <rFont val="Arial"/>
        <family val="2"/>
      </rPr>
      <t xml:space="preserve"> 1-732-313-7007</t>
    </r>
  </si>
  <si>
    <t>www.benchmarkscientific.com</t>
  </si>
  <si>
    <t>Item No.</t>
  </si>
  <si>
    <t>Description</t>
  </si>
  <si>
    <t>US Suggested List Price</t>
  </si>
  <si>
    <t>Shipping
Weight (lbs)</t>
  </si>
  <si>
    <t>Shipping
Weight (kg)</t>
  </si>
  <si>
    <t>USA Minimum
Advertised Price</t>
  </si>
  <si>
    <t>BT1500-A05</t>
  </si>
  <si>
    <t xml:space="preserve"> C1008-A5-6</t>
  </si>
  <si>
    <t>0.5ml Adapter pack, 6/pk.</t>
  </si>
  <si>
    <t xml:space="preserve"> C1008-A2-6</t>
  </si>
  <si>
    <t>0.2ml Adapter pack, 6/pk.</t>
  </si>
  <si>
    <t>C3100-ADP</t>
  </si>
  <si>
    <t>Hermle Centrifuges</t>
  </si>
  <si>
    <t>12 x 15ml rotor</t>
  </si>
  <si>
    <t>4 x pcr rotor</t>
  </si>
  <si>
    <t>20 x 10ml High Speed Rotor</t>
  </si>
  <si>
    <t>6x250 angle rotor</t>
  </si>
  <si>
    <t>4 x 250ml swing out rotor</t>
  </si>
  <si>
    <t>250ml insert, 2/pk.</t>
  </si>
  <si>
    <t>100ml insert, 2/pk.</t>
  </si>
  <si>
    <t>8 x 10ml insert, 2/pk.</t>
  </si>
  <si>
    <t>14 x 5/7ml insert, 2/pk.</t>
  </si>
  <si>
    <t>500ml conical (Corning) insert, 2/pk.</t>
  </si>
  <si>
    <t>Z206A Compact Centrifuge</t>
  </si>
  <si>
    <t>Z216-M and Z216-MK Microcentrifuges</t>
  </si>
  <si>
    <t>6 x 85ml High Speed  rotor (38°)</t>
  </si>
  <si>
    <t>Z366 and Z366-K Universal Centrifuges</t>
  </si>
  <si>
    <t>Adapter 4 x 15ml conical</t>
  </si>
  <si>
    <t>Adapter 50ml round</t>
  </si>
  <si>
    <t>Adapter 50ml conical</t>
  </si>
  <si>
    <t>4 x 85ml rotor</t>
  </si>
  <si>
    <t>Z32-HK High Speed Centrifuge</t>
  </si>
  <si>
    <t>Z36-HK Super Speed Centrifuge</t>
  </si>
  <si>
    <t>Adapter 4 x 15ml conical, 2/pk</t>
  </si>
  <si>
    <t>Adapter 50ml round, 2/pk</t>
  </si>
  <si>
    <t>Adapter 50ml conical, 2/pk</t>
  </si>
  <si>
    <t>Adapter for 30ml round for 50ml rotors</t>
  </si>
  <si>
    <t>30 x 15 ml rotor</t>
  </si>
  <si>
    <t>44 x 1.5/2.0ml rotor  (for Z216 series only)</t>
  </si>
  <si>
    <t>44 x 1.5/2.0ml rotor</t>
  </si>
  <si>
    <t>24 x 1.5/2.0ml rotor, hermetically sealed</t>
  </si>
  <si>
    <t>6 x 5ml swing out rotor (for Z206-A only)</t>
  </si>
  <si>
    <t>Z446 and Z446-K Universal High Capacity Centrifuges</t>
  </si>
  <si>
    <t>Z206-A</t>
  </si>
  <si>
    <t>Z206-1215</t>
  </si>
  <si>
    <t>Z206-0650</t>
  </si>
  <si>
    <t>Z206-1820</t>
  </si>
  <si>
    <t>Z206-0605</t>
  </si>
  <si>
    <t>Z216-M</t>
  </si>
  <si>
    <t>Z216-MK</t>
  </si>
  <si>
    <t>Z326-100H</t>
  </si>
  <si>
    <t>Z326-100H-AC</t>
  </si>
  <si>
    <t>Z326-02MP</t>
  </si>
  <si>
    <t>Z326-3015</t>
  </si>
  <si>
    <t>Z326-2420H</t>
  </si>
  <si>
    <t>Z326-3020H</t>
  </si>
  <si>
    <t>Z326-1215</t>
  </si>
  <si>
    <t>Z326-0685</t>
  </si>
  <si>
    <t>Z326-1050</t>
  </si>
  <si>
    <t>Z326-0650-HS</t>
  </si>
  <si>
    <t>Z326-2010</t>
  </si>
  <si>
    <t>Z326-1220H</t>
  </si>
  <si>
    <t>Z326-2420</t>
  </si>
  <si>
    <t>Z326-4420</t>
  </si>
  <si>
    <t>Z326-3202</t>
  </si>
  <si>
    <t>Z366</t>
  </si>
  <si>
    <t>Z366-K</t>
  </si>
  <si>
    <t>Z366-250</t>
  </si>
  <si>
    <t>Z366-06250</t>
  </si>
  <si>
    <t>Z326-0685-25</t>
  </si>
  <si>
    <t>Z446</t>
  </si>
  <si>
    <t>Z446-K</t>
  </si>
  <si>
    <t>Z446-750-AC</t>
  </si>
  <si>
    <t>Z446-750</t>
  </si>
  <si>
    <t>Z446-750-MP</t>
  </si>
  <si>
    <t>Z446-750-A250</t>
  </si>
  <si>
    <t>Z446-750-A500</t>
  </si>
  <si>
    <t>Z446-750-A30</t>
  </si>
  <si>
    <t>Z446-750-A10</t>
  </si>
  <si>
    <t>Z446-750-A57</t>
  </si>
  <si>
    <t>Z446-04500</t>
  </si>
  <si>
    <t>50ml conical insert, 2/pk.</t>
  </si>
  <si>
    <t>3 x 50ml round insert, 2/pk.</t>
  </si>
  <si>
    <t>Z446-500-A50</t>
  </si>
  <si>
    <t>Z446-500-A50R</t>
  </si>
  <si>
    <t>Z446-500-A15</t>
  </si>
  <si>
    <t>4 x pcr rotor, Hermetically Sealed (for Z216 series only)</t>
  </si>
  <si>
    <t>100ml insert for Z306-100 2/pk.</t>
  </si>
  <si>
    <t>85ml insert for Z306-100 2/pk.</t>
  </si>
  <si>
    <t>7 x 5/7ml insert for Z306-100 2/pk.</t>
  </si>
  <si>
    <t>10 x 1.5ml/2.0 insert for Z306-100, 2/pk.</t>
  </si>
  <si>
    <t>100ml inserts for Z326-100H rotor, 2/pk.</t>
  </si>
  <si>
    <t>85ml inserts for Z326-100H rotor, 2/pk.</t>
  </si>
  <si>
    <t>5 x 1.5ml inserts for Z326-100H rotor, 2/pk.</t>
  </si>
  <si>
    <t>10 x 50ml Conical Rotor</t>
  </si>
  <si>
    <t>6 x 50ml Round rotor (12,000 rpm)</t>
  </si>
  <si>
    <t>Z326-0485</t>
  </si>
  <si>
    <t xml:space="preserve">4 x pcr rotor </t>
  </si>
  <si>
    <t>Z032-HK</t>
  </si>
  <si>
    <t>6 x 50ml Round rotor</t>
  </si>
  <si>
    <t>Z326-0650-LS</t>
  </si>
  <si>
    <t>Z036-HK</t>
  </si>
  <si>
    <t>Z306-100</t>
  </si>
  <si>
    <t>Z446-750-LID</t>
  </si>
  <si>
    <t>12 x 5ml rotor   (for Z216 series only)</t>
  </si>
  <si>
    <t>Z326-1205</t>
  </si>
  <si>
    <t>12 x 5ml rotor</t>
  </si>
  <si>
    <t>Z366-250-HC</t>
  </si>
  <si>
    <t>4 x 250ml High Capacity swing out rotor</t>
  </si>
  <si>
    <t>12 x 10ml insert, 2/pk.</t>
  </si>
  <si>
    <t>Z207-M Microcentrifuge</t>
  </si>
  <si>
    <t>Z207-M</t>
  </si>
  <si>
    <t>Z207-2420H</t>
  </si>
  <si>
    <t>24 x 1.5/2.0ml rotor, hermetically sealed  (for Z207-M only)</t>
  </si>
  <si>
    <t>15ml Adapter for conical 50ml rotors 2/pk</t>
  </si>
  <si>
    <t>Round buckets for Z446-750-AC  2/pk</t>
  </si>
  <si>
    <t>Z446-750-A225</t>
  </si>
  <si>
    <t>225ml conical insert, 2/pk</t>
  </si>
  <si>
    <t>Z446-MP-BUK</t>
  </si>
  <si>
    <t>Rectangular buckets for Z446-750-AC 2/pk</t>
  </si>
  <si>
    <t>Z446-MP-LID</t>
  </si>
  <si>
    <t xml:space="preserve"> Lid for Z446-MP-BUK 2/pk</t>
  </si>
  <si>
    <t>Z446-MP-RA</t>
  </si>
  <si>
    <t>Removing Aid for Z446-MP-BUK 2/pk</t>
  </si>
  <si>
    <t>Z496 Ultra High Volume Floor Standing Centrifuge</t>
  </si>
  <si>
    <t>Z496-K-UC</t>
  </si>
  <si>
    <t>Z496-K</t>
  </si>
  <si>
    <t>Z496-1000-AC</t>
  </si>
  <si>
    <t>Rectangular bucket for Z496-1000-AC 2/pk</t>
  </si>
  <si>
    <t>500ml insert for Z496-1000-RBUK 2/pk</t>
  </si>
  <si>
    <t>2 x 250ml insert for Z496-1000-RBUK 2/pk</t>
  </si>
  <si>
    <t>225ml conical insert for Z496-1000-RBUK 2/pk</t>
  </si>
  <si>
    <t>3 x 100ml insert for Z496-1000-RBUK 2/pk</t>
  </si>
  <si>
    <t>10 x 50ml conical insert for Z496-1000-RBUK 2/pk</t>
  </si>
  <si>
    <t>10 x 50ml round bottom insert for Z496-1000-RBUK 2/pk</t>
  </si>
  <si>
    <t>24 x 15ml conical insert for Z496-1000-RBUK 2/pk</t>
  </si>
  <si>
    <t>24 x 5ml conical insert for Z496-1000-RBUK 2/pk</t>
  </si>
  <si>
    <t>46 x 5-7ml insert for Z496-1000-RBUK 2/pk</t>
  </si>
  <si>
    <t>1000ml round bucket for Z496-1000-AC 2/pk</t>
  </si>
  <si>
    <t>Z496-500-BLD</t>
  </si>
  <si>
    <t>Z496-750-BLD</t>
  </si>
  <si>
    <t>750ml blood bag buckets for Z496-496-1000-AC 2/pk</t>
  </si>
  <si>
    <t>500ml centrifugal basket, perforated</t>
  </si>
  <si>
    <t>500ml centrifugal basket, non-perforated</t>
  </si>
  <si>
    <t>PCR stacking adapter for Z446-750-MP, 2/pk</t>
  </si>
  <si>
    <t>Z446-500-A250</t>
  </si>
  <si>
    <t>250ml conical insert for 500ml rotor, 2/pk.</t>
  </si>
  <si>
    <t>Z446-500-A250F</t>
  </si>
  <si>
    <t>250ml bottle insert for 500ml rotor, 2/pk.</t>
  </si>
  <si>
    <t>50ml conical insert for 500ml rotor, 2/pk.</t>
  </si>
  <si>
    <t>3 x 50ml round insert for 500ml rotor, 2/pk.</t>
  </si>
  <si>
    <t>6 x 15ml conicalinsert for 500ml rotor, 2/pk.</t>
  </si>
  <si>
    <t>3 x chamber slide and 35/60mm dish carrier 2/pk</t>
  </si>
  <si>
    <t>145ml insert for Z306-100 2/pk.</t>
  </si>
  <si>
    <t>250ml flat bottle insert, 2/pk.</t>
  </si>
  <si>
    <t>250ml flat bottle insert, 2/pk</t>
  </si>
  <si>
    <t>50ml round insert for Z306-100 2/pk.</t>
  </si>
  <si>
    <t>50ml round inserts for Z326-100H rotor, 2/pk.</t>
  </si>
  <si>
    <t>1 x 15ml for 130mm tubes insert for Z326-100H 2/pk</t>
  </si>
  <si>
    <t>4 x 1000ml Swing-out rotor without buckets for Z496-K</t>
  </si>
  <si>
    <t>OLEUM Rotor package, complete with rotor, buckets and inserts</t>
  </si>
  <si>
    <t>Conical oil test tube, each</t>
  </si>
  <si>
    <t>Z206-A-E</t>
  </si>
  <si>
    <t>Z206-A Centrifuge, 230V</t>
  </si>
  <si>
    <t>Z167-M Microcentrifuge</t>
  </si>
  <si>
    <t>Z167-M</t>
  </si>
  <si>
    <t>Z167-M-E</t>
  </si>
  <si>
    <t>Z167M microcentrifuge, includes 18 x 1.5/2.0ml rotor 230V</t>
  </si>
  <si>
    <t>Z207-M-E</t>
  </si>
  <si>
    <t>Z207M microcentrifuge, 230V</t>
  </si>
  <si>
    <t>Z216-M-E</t>
  </si>
  <si>
    <t>Z216-MK-E</t>
  </si>
  <si>
    <t>Z366-E</t>
  </si>
  <si>
    <t>Z366 Centrifuge, 230V</t>
  </si>
  <si>
    <t>Z366-K-E</t>
  </si>
  <si>
    <t>Z366 K Refrigerated Centrifuge, 230V</t>
  </si>
  <si>
    <t>Z446-E</t>
  </si>
  <si>
    <t>Z446 Centrifuge, 230V</t>
  </si>
  <si>
    <t>Z446-K-E</t>
  </si>
  <si>
    <t>Z446-K Refrigerated Centrifuge, 230V</t>
  </si>
  <si>
    <t>Z032-HK-E</t>
  </si>
  <si>
    <t>Z32-HK Refrigerated Centrifuge, 230V</t>
  </si>
  <si>
    <t>Z036-HK-E</t>
  </si>
  <si>
    <t>Z36-HK Refrigerated Centrifuge, 230V</t>
  </si>
  <si>
    <t>Z496-K High Volume Underbench centrifuge (230V ONLY)</t>
  </si>
  <si>
    <t>Z496-K High Volume Floor Standing centrifuge (230V ONLY)</t>
  </si>
  <si>
    <t>12 x 15ml rotor (for Z206-A only)</t>
  </si>
  <si>
    <t>Cushion for 5ml tube in Z206-50-A57 adapter, 6/pk</t>
  </si>
  <si>
    <t>4 x 145ml swing out rotor</t>
  </si>
  <si>
    <t>4 x 100ml swing out rotor with hermetically sealed buckets</t>
  </si>
  <si>
    <t>4 x 10ml inserts for Z326-100H rotor, 2/pk.</t>
  </si>
  <si>
    <t>4 x 5/7ml inserts for Z326-100H rotor, 2/pk.</t>
  </si>
  <si>
    <t>4 x 100ml swing out rotor without buckets</t>
  </si>
  <si>
    <t>2 place swing out microplate rotor</t>
  </si>
  <si>
    <t>20 x 1.5ml adapter for microplate rotor</t>
  </si>
  <si>
    <t>20 x 0.5ml adapter for microplate rotors</t>
  </si>
  <si>
    <t>6 x 85ml High Speed "super" rotor (25°)</t>
  </si>
  <si>
    <t>LID for Z366-250 inserts 2/pk.</t>
  </si>
  <si>
    <t>6 x 250ml angle rotor</t>
  </si>
  <si>
    <t>30 x 15ml rotor</t>
  </si>
  <si>
    <t>4 x 750ml swing out rotor without buckets</t>
  </si>
  <si>
    <r>
      <t>4 x 750ml swing out rotor</t>
    </r>
    <r>
      <rPr>
        <b/>
        <sz val="11"/>
        <color theme="1"/>
        <rFont val="Calibri"/>
        <family val="2"/>
        <scheme val="minor"/>
      </rPr>
      <t xml:space="preserve"> with </t>
    </r>
    <r>
      <rPr>
        <sz val="11"/>
        <color theme="1"/>
        <rFont val="Calibri"/>
        <family val="2"/>
        <scheme val="minor"/>
      </rPr>
      <t>buckets</t>
    </r>
  </si>
  <si>
    <t xml:space="preserve">microplate carriers for Z446-750-AC, 2/pk. </t>
  </si>
  <si>
    <t>8 x 30ml insert, 2/pk.</t>
  </si>
  <si>
    <t xml:space="preserve"> Lid for Z446-750-BUK 2/pk</t>
  </si>
  <si>
    <t>4 x 500ml angle rotor</t>
  </si>
  <si>
    <t>Microplate removing aid for Z496-1000-RBUK</t>
  </si>
  <si>
    <t>6 x 50ml rotor (for Z206-A only)</t>
  </si>
  <si>
    <t>18 x 1.5/2.0ml rotor (for Z206-A only)</t>
  </si>
  <si>
    <t>15ml conical Adapter for conical 50ml rotors 2/pk</t>
  </si>
  <si>
    <t>15ml round Adapter for conical 50ml rotors 2/pk</t>
  </si>
  <si>
    <t>18 x 10ml insert, 2/pk.</t>
  </si>
  <si>
    <t>6 x 15ml conical insert, 2/pk.</t>
  </si>
  <si>
    <t>Z600-S3</t>
  </si>
  <si>
    <t>SIEVA-3 Filtration Centrifuge, 120V</t>
  </si>
  <si>
    <t>Z600-S3-E</t>
  </si>
  <si>
    <t>SIEVA-3 Filtration Centrifuge, 230V</t>
  </si>
  <si>
    <t>Z600-S3-TC</t>
  </si>
  <si>
    <t>SIEVA-3-TC Filtration Centrifuge with external temperature control, 120V</t>
  </si>
  <si>
    <t>Z600-S3-TC-E</t>
  </si>
  <si>
    <t>SIEVA-3-TC Filtration Centrifuge with external temperature control, 230V</t>
  </si>
  <si>
    <t>Z600-500-P</t>
  </si>
  <si>
    <t>Z600-500-NP</t>
  </si>
  <si>
    <t>Z600-OL</t>
  </si>
  <si>
    <t>Z600-OL-COM</t>
  </si>
  <si>
    <t>Z600-OL-BUK</t>
  </si>
  <si>
    <t>Z600-OL-INS</t>
  </si>
  <si>
    <t>Z600-OL-CT</t>
  </si>
  <si>
    <t>Z600-OL-CTC</t>
  </si>
  <si>
    <t>Z600-OL-PT</t>
  </si>
  <si>
    <t>Z600-OL-PTC</t>
  </si>
  <si>
    <t>Z496-1000</t>
  </si>
  <si>
    <t>4 x 1000ml swing out rotor with rectangular buckets</t>
  </si>
  <si>
    <t>50ml conical insert for 85ml rotor, 2/pk.</t>
  </si>
  <si>
    <t>50ml round insert for 85ml rotor, 2/pk.</t>
  </si>
  <si>
    <t>15ml conical insert for 85ml rotor, 2/pk.</t>
  </si>
  <si>
    <t>10-15ml round insert for 85ml rotor, 2/pk.</t>
  </si>
  <si>
    <t>For Customer Service or Technical Support - 1-908-769-5555</t>
  </si>
  <si>
    <t>Adapter for conical oil test tube, 2/pk</t>
  </si>
  <si>
    <t>Adapter for pear shaped oil test tube, 2/pk</t>
  </si>
  <si>
    <t>Spare round buckets for Z600-OL-COM, 2/pk</t>
  </si>
  <si>
    <t>Spare inserts for Z600-OL-BUK, 2/pk</t>
  </si>
  <si>
    <t>3 x 50ml conical insert, 2/pk.</t>
  </si>
  <si>
    <t>3 x 50ml round bottom insert, 2/pk.</t>
  </si>
  <si>
    <t>Z207-A</t>
  </si>
  <si>
    <t>Z207-A-E</t>
  </si>
  <si>
    <t>Z326-15-A5</t>
  </si>
  <si>
    <t>Adapter pack for 5ml tubes in Z207-A rotors, 2/pk.</t>
  </si>
  <si>
    <t>Z326-15-A7</t>
  </si>
  <si>
    <t>Adapter pack for 7ml tubes in Z207-A rotors, 2/pk.</t>
  </si>
  <si>
    <t>High speed 0.5ml adapter for 2.0ml rotors, 6/pk</t>
  </si>
  <si>
    <t>High speed 1.5ml adapter for 2.0ml rotors, 6/pk</t>
  </si>
  <si>
    <t>High speed 0.2-0.4ml adapter for 2.0ml rotors, 6/pk</t>
  </si>
  <si>
    <t>24 x 2.0ml spin column kit (for Z216 series only)</t>
  </si>
  <si>
    <t>Z496-500-ADP</t>
  </si>
  <si>
    <t>Z496-750-ADP</t>
  </si>
  <si>
    <t>Z287-A Compact Universal Centrifuge</t>
  </si>
  <si>
    <t>Z287-A-E</t>
  </si>
  <si>
    <t>Hermle Z287-A Compact Universal Centrifuge, 230V</t>
  </si>
  <si>
    <t>Z287-A</t>
  </si>
  <si>
    <t>Hermle Z287-A Compact Universal Centrifuge, 120V</t>
  </si>
  <si>
    <t>Z287-0450H</t>
  </si>
  <si>
    <t>4 x 50ml conical swing out rotor for Z287-A</t>
  </si>
  <si>
    <t>Z287-0430H</t>
  </si>
  <si>
    <t>4 x 30ml skirted swing out rotor for Z287-A</t>
  </si>
  <si>
    <t>Z287-0810H</t>
  </si>
  <si>
    <t>8 x 10ml swing out rotor for Z287-A</t>
  </si>
  <si>
    <t>Z287-02MP</t>
  </si>
  <si>
    <t>2 x microplate swing out rotor for Z287-A</t>
  </si>
  <si>
    <t>Z287-0650</t>
  </si>
  <si>
    <t>6 x 50ml conical fixed angle rotor for Z287-A</t>
  </si>
  <si>
    <t>Z287-1215</t>
  </si>
  <si>
    <t>12 x 15ml fixed angle rotor for Z287-A</t>
  </si>
  <si>
    <t>Z287-0815</t>
  </si>
  <si>
    <t>8 x 15ml fixed angle rotor for Z287-A</t>
  </si>
  <si>
    <t>Z287-2420</t>
  </si>
  <si>
    <t>24 x 1.5/2.0ml fixed angle rotor for Z287-A</t>
  </si>
  <si>
    <t>Z287-24SC</t>
  </si>
  <si>
    <t>24 x 2.0ml spin column fixed angle rotor for Z287-A</t>
  </si>
  <si>
    <t>Z287-1820</t>
  </si>
  <si>
    <t>18 x 1.5/2.0ml fixed angle rotor for Z287-A</t>
  </si>
  <si>
    <t>Z287-24HEM</t>
  </si>
  <si>
    <t>24 - place hematocrit tube rotor for Z287-A</t>
  </si>
  <si>
    <t>50ml self standing, insert for 85ml rotor, 2/pk.</t>
  </si>
  <si>
    <t>Spare 10ml holders for Z287-0810H rotor, 2/pk</t>
  </si>
  <si>
    <t>5-7ml adapter for 15ml rotor, 8/pk</t>
  </si>
  <si>
    <t>Rubber gasket for 10ml tubes, 8/pk</t>
  </si>
  <si>
    <t>9 x 5/7ml insert, 2/pk.</t>
  </si>
  <si>
    <t>OLEUM Oil Testing Centrifuge, 230V ONLY</t>
  </si>
  <si>
    <t>Z207-A-CMB Compact Centrifuge with Combination Rotor</t>
  </si>
  <si>
    <t>Z207-A-CMB</t>
  </si>
  <si>
    <t>Z207-A-CMB-E</t>
  </si>
  <si>
    <t>Compact Centrifuge with Combination Rotor, 230V</t>
  </si>
  <si>
    <t>Z207-H Compact Hematocrit Centrifuge</t>
  </si>
  <si>
    <t>Z207-H</t>
  </si>
  <si>
    <t>Z207-H-E</t>
  </si>
  <si>
    <t>Compact Hematocrit Centrifuge, 230V</t>
  </si>
  <si>
    <t>5ml round adapter for 15ml rotors, 2/pk</t>
  </si>
  <si>
    <t>7ml round adapter for 15ml rotors, 2/pk</t>
  </si>
  <si>
    <t>Z207-A Clinical Centrifuge with 8 x 15ml fixed angle rotor, 230V</t>
  </si>
  <si>
    <t>Z207-A Clinical Centrifuge with 8 x 15ml rotor</t>
  </si>
  <si>
    <t>Z326-15-A20</t>
  </si>
  <si>
    <t>Adapter pack for 1.5/2.0ml tubes in Z207-A rotors, 2/pk.</t>
  </si>
  <si>
    <t>9 x 1.5/2.0ml insert, 2/pk.</t>
  </si>
  <si>
    <t>5/7ml holders for Z287-0810H rotor, 2/pk</t>
  </si>
  <si>
    <t>Z446-750-B50</t>
  </si>
  <si>
    <t>Z446-750-B15</t>
  </si>
  <si>
    <t>Z326-BKR</t>
  </si>
  <si>
    <t>BucketBuddy™ Magnetic Basket and Tube Rack for Laboratory Centrfuges, Each</t>
  </si>
  <si>
    <t>15ml round Adapter for Z326-1050 rotors 2/pk</t>
  </si>
  <si>
    <t>Z600-S3-F7u</t>
  </si>
  <si>
    <t>Filter material PP DLW, 7um pore size, Pack of 10</t>
  </si>
  <si>
    <t>Z600-S3-F20u</t>
  </si>
  <si>
    <t>Filter material PP DLW, 20um pore size, Pack of 10</t>
  </si>
  <si>
    <t>Z600-S3-F30u</t>
  </si>
  <si>
    <t>Filter material PP DLW, 30um pore size, Pack of 10</t>
  </si>
  <si>
    <t>Z600-S3-F50u</t>
  </si>
  <si>
    <t>Filter material PP DLW, 50um pore size, Pack of 10</t>
  </si>
  <si>
    <t>24 x 1.5/2.0ml Spin column rotor  (for Z207-M only)</t>
  </si>
  <si>
    <t>Z207-24SC</t>
  </si>
  <si>
    <t>Z446-750-A250F</t>
  </si>
  <si>
    <t>250ml conical bottle insert, 2/pk</t>
  </si>
  <si>
    <t>C3100-RG</t>
  </si>
  <si>
    <t>Z206-50-A15</t>
  </si>
  <si>
    <t>Z206-50-A57</t>
  </si>
  <si>
    <t>Z206-50-A5C</t>
  </si>
  <si>
    <t>Z216-2420</t>
  </si>
  <si>
    <t>Z216-2420S</t>
  </si>
  <si>
    <t>Z216-3020H</t>
  </si>
  <si>
    <t>Z216-4420</t>
  </si>
  <si>
    <t>C1008-A5-6</t>
  </si>
  <si>
    <t>C1008-A2-6</t>
  </si>
  <si>
    <t>Z216-2420H</t>
  </si>
  <si>
    <t>Z216-24SC</t>
  </si>
  <si>
    <t>Z216-1205</t>
  </si>
  <si>
    <t>Z216-05-C10</t>
  </si>
  <si>
    <t>Z216-05-C18</t>
  </si>
  <si>
    <t>Z216-3202</t>
  </si>
  <si>
    <t>Z216-24HEM</t>
  </si>
  <si>
    <t>Z326-50-B15</t>
  </si>
  <si>
    <t>Z287-0810-A10</t>
  </si>
  <si>
    <t>Z287-0810-A7</t>
  </si>
  <si>
    <t>Z306-100-A145</t>
  </si>
  <si>
    <t>Z306-100-A100</t>
  </si>
  <si>
    <t>Z306-100-A85</t>
  </si>
  <si>
    <t>Z306-100-A50</t>
  </si>
  <si>
    <t>Z306-100-A50R</t>
  </si>
  <si>
    <t>Z306-100-A15</t>
  </si>
  <si>
    <t>Z306-100-A10</t>
  </si>
  <si>
    <t>Z306-100-A57</t>
  </si>
  <si>
    <t>Z306-100-A20</t>
  </si>
  <si>
    <t>Z326-100H-A100</t>
  </si>
  <si>
    <t>Z326-100H-A85</t>
  </si>
  <si>
    <t>Z326-100H-A50</t>
  </si>
  <si>
    <t>Z326-100H-A50R</t>
  </si>
  <si>
    <t>Z326-100H-A15</t>
  </si>
  <si>
    <t>Z326-100H-A15S</t>
  </si>
  <si>
    <t>Z326-100H-A15L</t>
  </si>
  <si>
    <t>Z326-100H-A10</t>
  </si>
  <si>
    <t>Z326-100H-A57</t>
  </si>
  <si>
    <t>Z326-100H-A20</t>
  </si>
  <si>
    <t>Z326-100H-BUK</t>
  </si>
  <si>
    <t>Z326-100H-B15</t>
  </si>
  <si>
    <t>Z326-100H-B50</t>
  </si>
  <si>
    <t>BT1500-A1520</t>
  </si>
  <si>
    <t>Z326-MPCA</t>
  </si>
  <si>
    <t>Z206-50-A57C</t>
  </si>
  <si>
    <t>Z326-85-A50</t>
  </si>
  <si>
    <t>Z326-85-A50R</t>
  </si>
  <si>
    <t>Z326-85-A50SS</t>
  </si>
  <si>
    <t>Z326-85-A15</t>
  </si>
  <si>
    <t>Z326-85-A15R</t>
  </si>
  <si>
    <t>Z326-50-A15</t>
  </si>
  <si>
    <t>Z326-50-B15HS</t>
  </si>
  <si>
    <t>Z326-50-A15R</t>
  </si>
  <si>
    <t>Z326-50-A30</t>
  </si>
  <si>
    <t>Z366-250-A250</t>
  </si>
  <si>
    <t>Z366-250-A100</t>
  </si>
  <si>
    <t>Z366-250-A50</t>
  </si>
  <si>
    <t>Z366-250-A50R</t>
  </si>
  <si>
    <t>Z366-250-A15</t>
  </si>
  <si>
    <t>Z366-250-A10</t>
  </si>
  <si>
    <t>Z366-250-A57</t>
  </si>
  <si>
    <t>Z366-250-A20</t>
  </si>
  <si>
    <t>Z366-250-LID</t>
  </si>
  <si>
    <t>Z366-250-B250</t>
  </si>
  <si>
    <t>Z366-250-B50</t>
  </si>
  <si>
    <t>Z366-250-B15</t>
  </si>
  <si>
    <t>Z366-250-B10</t>
  </si>
  <si>
    <t>Z366-250-B57</t>
  </si>
  <si>
    <t>Z366-06250-A15</t>
  </si>
  <si>
    <t>Z366-06250-A50R</t>
  </si>
  <si>
    <t>Z366-06250-A50</t>
  </si>
  <si>
    <t>Z446-750-BUK</t>
  </si>
  <si>
    <t>Z446-MP-STK</t>
  </si>
  <si>
    <t>Z36-04-HS</t>
  </si>
  <si>
    <t>Z36-05-HS</t>
  </si>
  <si>
    <t>Z36-20-HS</t>
  </si>
  <si>
    <t>Z496-1000-RBUK</t>
  </si>
  <si>
    <t>Z496-1000-A500</t>
  </si>
  <si>
    <t>Z496-1000-A500C</t>
  </si>
  <si>
    <t>Z496-1000-A250</t>
  </si>
  <si>
    <t>Z496-1000-A225</t>
  </si>
  <si>
    <t>Z496-1000-A100</t>
  </si>
  <si>
    <t>Z496-1000-A50</t>
  </si>
  <si>
    <t>Z496-1000-A50R</t>
  </si>
  <si>
    <t>Z496-1000-A15</t>
  </si>
  <si>
    <t>Z496-1000-A5F</t>
  </si>
  <si>
    <t>Z496-1000-A10</t>
  </si>
  <si>
    <t>Z496-1000-A57</t>
  </si>
  <si>
    <t>Z496-1000-MPRA</t>
  </si>
  <si>
    <t>Z496-1000-1L</t>
  </si>
  <si>
    <t>30 x 1.5/2.0ml rotor</t>
  </si>
  <si>
    <t>30 x 1.5ml rotor</t>
  </si>
  <si>
    <t>27 x 5/7ml insert, 2/pk.</t>
  </si>
  <si>
    <t>Z327-200</t>
  </si>
  <si>
    <t>4 x 200 ml swing out rotor, with 4 buckets</t>
  </si>
  <si>
    <t>Z327-200-AC</t>
  </si>
  <si>
    <t>4 x 200 ml swing out rotor, no buckets</t>
  </si>
  <si>
    <t>Z327-200-BUK</t>
  </si>
  <si>
    <t>200ml Round bucket for Z327-200-AC, 2/pk</t>
  </si>
  <si>
    <t>Z327-200-LID</t>
  </si>
  <si>
    <t>Hermetically sealed lids for round bucket Z327-200-BUK, 2/pk</t>
  </si>
  <si>
    <t>Z327-200-A200</t>
  </si>
  <si>
    <t>200ml conical insert for Z327-200-BUK, 2/pk</t>
  </si>
  <si>
    <t>Z327-200-A100</t>
  </si>
  <si>
    <t>100ml insert for Z327-200-BUK, 2/pk</t>
  </si>
  <si>
    <t>Z327-200-A85</t>
  </si>
  <si>
    <t>85ml insert for Z327-200-BUK, 2/pk</t>
  </si>
  <si>
    <t>Z327-200-A50</t>
  </si>
  <si>
    <t>50ml conical bottom insert for Z327-200-BUK, 2/pk</t>
  </si>
  <si>
    <t>Z327-200-A50R</t>
  </si>
  <si>
    <t>50ml round bottom insert for Z327-200-BUK, 2/pk</t>
  </si>
  <si>
    <t>Z327-200-A50SS</t>
  </si>
  <si>
    <t>50ml conical self-standing insert for Z327-200-BUK, 2/pk</t>
  </si>
  <si>
    <t>Z327-200-B50</t>
  </si>
  <si>
    <t>2 x 50ml conical bucket Z327-200-AC, 2/pk *not lid compatible</t>
  </si>
  <si>
    <t>Z327-200-A30</t>
  </si>
  <si>
    <t>30ml round insert for Z327-200-BUK, 2/pk</t>
  </si>
  <si>
    <t>Z327-200-A25</t>
  </si>
  <si>
    <t>25ml conical insert for Z327-200-BUK, 2/pk</t>
  </si>
  <si>
    <t>Z327-200-A15</t>
  </si>
  <si>
    <t>3 x 15ml conical insert for Z327-200-BUK, 2/pk</t>
  </si>
  <si>
    <t>Z327-200-A15B</t>
  </si>
  <si>
    <t>4 x 15ml conical insert for Z327-200-BUK, 2/pk *not lid compatible</t>
  </si>
  <si>
    <t>Z327-200-A10</t>
  </si>
  <si>
    <t>7 x 10/15ml round insert for Z327-200-BUK, 2/pk</t>
  </si>
  <si>
    <t>Z327-200-A57</t>
  </si>
  <si>
    <t>8 x 1.8-7ml blood tube insert for Z327-200-BUK, 2/pk</t>
  </si>
  <si>
    <t>Z327-200-A5F</t>
  </si>
  <si>
    <t>4 x 5ml conical tube insert for Z327-200-BUK, 2/pk</t>
  </si>
  <si>
    <t>Z327-200-A20</t>
  </si>
  <si>
    <t>Z307 Universal Centrifuge</t>
  </si>
  <si>
    <t>Z307</t>
  </si>
  <si>
    <t>Z307 Universal Centrifuge, 120V</t>
  </si>
  <si>
    <t>Z307-E</t>
  </si>
  <si>
    <t>Z307 Universal Centrifuge, 230V</t>
  </si>
  <si>
    <t>Z327 and Z327-K Universal Centrifuges</t>
  </si>
  <si>
    <t>Z327</t>
  </si>
  <si>
    <t>Z327 Universal Centrifuge, 120V</t>
  </si>
  <si>
    <t>Z327-E</t>
  </si>
  <si>
    <t>Z327 Universal Centrifuge, 230V</t>
  </si>
  <si>
    <t>Z327-K</t>
  </si>
  <si>
    <t>Z327-K Refrigerated Universal Centrifuge, 120V</t>
  </si>
  <si>
    <t>Z327-K-E</t>
  </si>
  <si>
    <t>Z327-K-E Refrigerated Universal Centrifuge, 230V</t>
  </si>
  <si>
    <t>12 x 1.5/2.0ml rotor</t>
  </si>
  <si>
    <t>Adapter pack for 1.5/2.0ml tubes for 15ml rotors, 2/pk</t>
  </si>
  <si>
    <t>6 x 85ml High Speed rotor (38°)</t>
  </si>
  <si>
    <t>Z496-1L-A500S</t>
  </si>
  <si>
    <t>500ml flat bottle, 69.5mm dia insert for Z496-1000-1L 2/pk</t>
  </si>
  <si>
    <t>Z496-1L-A15</t>
  </si>
  <si>
    <t>Z496-1L-A250F</t>
  </si>
  <si>
    <t>250ml conical bottle insert for Z496-1000-1L 2/pk</t>
  </si>
  <si>
    <t>Z446-750-A50R</t>
  </si>
  <si>
    <t>7 x 50ml round insert, 2/pk.</t>
  </si>
  <si>
    <t>Z446-750-A50-E</t>
  </si>
  <si>
    <t>Z446-750-A15R</t>
  </si>
  <si>
    <t>18 x 15ml insert, 2/pk.</t>
  </si>
  <si>
    <t>24 x 1.5/2.0ml rotor, hermetically sealed metal lid  (for Z216 series only)</t>
  </si>
  <si>
    <t>Sealed buckets for Z326-100H-AC, 2/pk.</t>
  </si>
  <si>
    <t>3 x 15ml conical buckets, 2/pk.</t>
  </si>
  <si>
    <t>2 x 50ml conical buckets, 2/pk.</t>
  </si>
  <si>
    <t>7 x 50ml conical insert, 2/pk.</t>
  </si>
  <si>
    <t>17 x 15ml conical insert, 2/pk.</t>
  </si>
  <si>
    <t>7 x 15ml conical insert, 2/pk.</t>
  </si>
  <si>
    <t>5 x 50ml conical insert, 2/pk.</t>
  </si>
  <si>
    <t>12 x 15ml conical insert for Z496-1000-1L buckets, 2/pk</t>
  </si>
  <si>
    <t>24 x 1.5/2.0ml rotor, hermetically sealed metal lid</t>
  </si>
  <si>
    <t>24 x 1.5/2.0ml rotor, hermletically sealed</t>
  </si>
  <si>
    <t>50ml conical inserts for Z326-100H rotor, 2/pk.</t>
  </si>
  <si>
    <t>2 x 15ml conical inserts for Z326-100H rotor, 2/pk.</t>
  </si>
  <si>
    <t>1 x 15ml conical sealable insert for Z326-100H 2/pk</t>
  </si>
  <si>
    <t>24 x 1.5/2.0ml Hermetically sealed rotor, metal lid</t>
  </si>
  <si>
    <t>24 x 1.5/2.0ml Hermetically sealed rotor metal lid</t>
  </si>
  <si>
    <t>4 x 50ml conical insert, 2/pk.</t>
  </si>
  <si>
    <t>10 x 15ml conical insert, 2/pk.</t>
  </si>
  <si>
    <t>50ml conical insert for Z306-100 2/pk.</t>
  </si>
  <si>
    <t>2 x 15ml conical insert for Z306-100 2/pk.</t>
  </si>
  <si>
    <t>24x1.5/2.0ml rotor, hermetically sealed metal lid</t>
  </si>
  <si>
    <t>24 x 1.5ml rotor, hermetically sealed</t>
  </si>
  <si>
    <t>30 x 1.5/2.0ml rotor (for Z216 series only)</t>
  </si>
  <si>
    <t>Z207-3202</t>
  </si>
  <si>
    <t>4 x 8 PCR strip rotor (for Z207-M only)</t>
  </si>
  <si>
    <t>Loading adapter for Z496-500-BLD, 2/pk</t>
  </si>
  <si>
    <t>Loading adapter for Z496-750-BLD, 2/pk</t>
  </si>
  <si>
    <t>500ml blood bag buckets for Z496-1000-AC 2/pk</t>
  </si>
  <si>
    <t>8 x 1.5/2.0ml tube insert for Z327-200-BUK, 2/pk</t>
  </si>
  <si>
    <t>1.8 ml Cryotube adapter for 5ml reaction tube rotor, 6/pk</t>
  </si>
  <si>
    <t>1.0 ml Cryotube adapter for 5ml reaction tube rotor, 6/pk</t>
  </si>
  <si>
    <t>24 x 1.5/2.0ml rotor hermetically sealed (for Z216 series only)</t>
  </si>
  <si>
    <t>COMBI-Rotor 24 x 1.5/2.0ml and 4 x PCR strips with Quick-Lock lid (for Z216 series only)</t>
  </si>
  <si>
    <t>Z216 M MicroCentrifuge, 230V</t>
  </si>
  <si>
    <t>Z216 MK Refrigerated MicroCentrifuge, 230V</t>
  </si>
  <si>
    <t>15ml conical adapter for 50ml round rotors, 2/pk</t>
  </si>
  <si>
    <t>Adapter for 30ml round for 50ml round rotors, 2/pk</t>
  </si>
  <si>
    <t>Z366-06250-A225C</t>
  </si>
  <si>
    <t>175-225 ml conical tube insert, 2/pk</t>
  </si>
  <si>
    <t>C0175</t>
  </si>
  <si>
    <t>Centrifuge Tube, 175mL, PP, sterile, with screw-cap, 20 bags of 6 tubes, 120/cs</t>
  </si>
  <si>
    <t>C0225</t>
  </si>
  <si>
    <t xml:space="preserve">Centrifuge Tube, 225mL, PP, sterile, with screw-cap, 5 per bag, 17 bags per case, 85/cs </t>
  </si>
  <si>
    <t>C1500</t>
  </si>
  <si>
    <t xml:space="preserve">Centrifuge Tube, 500mL, PP, sterile, with screw-cap, 8 per bag, 5 bags per case, 40/cs </t>
  </si>
  <si>
    <t>C1250</t>
  </si>
  <si>
    <t>Centrifuge Tube, 250mL, PP, sterile, with screw-cap, 14 bags of 5 tubes, 70/cs</t>
  </si>
  <si>
    <t>Z446-500-A225C</t>
  </si>
  <si>
    <t>175/225ml conicalt bottle insert for 500ml rotor, 2/pk.</t>
  </si>
  <si>
    <t>500ml conical insert for Z496-1000-RBUK, 2/pk *must be used with Z446-750-A500</t>
  </si>
  <si>
    <r>
      <t xml:space="preserve">                  2024 Distributor Price List </t>
    </r>
    <r>
      <rPr>
        <b/>
        <sz val="14"/>
        <color indexed="18"/>
        <rFont val="Arial"/>
        <family val="2"/>
      </rPr>
      <t xml:space="preserve">(effective January 1, 2024) </t>
    </r>
  </si>
  <si>
    <t>OLEUM Oil Testing Centrifuge</t>
  </si>
  <si>
    <t>SIEVA-3 Filtration Centrifuge</t>
  </si>
  <si>
    <t>Pear shaped oil test tube, each</t>
  </si>
  <si>
    <t>Z206-A Centrifuge, 120V</t>
  </si>
  <si>
    <t>Z207-A Clinical Centrifuge with 8 x 15ml fixed angle rotor, 120V</t>
  </si>
  <si>
    <t>Compact Centrifuge with Combination Rotor, 120V</t>
  </si>
  <si>
    <t>Z167M microcentrifuge, includes 18 x 1.5/2.0ml rotor 120V</t>
  </si>
  <si>
    <t>Z207M microcentrifuge, 120V</t>
  </si>
  <si>
    <t>Compact Hematocrit Centrifuge, 120V</t>
  </si>
  <si>
    <t>Z216 M MicroCentrifuge, 120V</t>
  </si>
  <si>
    <t>Z216 MK Refrigerated MicroCentrifuge, 120V</t>
  </si>
  <si>
    <t>Z366 Centrifuge, 120V</t>
  </si>
  <si>
    <t>Z366 K Refrigerated Centrifuge, 120V</t>
  </si>
  <si>
    <t>Z446 Centrifuge, 120V</t>
  </si>
  <si>
    <t>Z446-K Refrigerated Centrifuge, 120V</t>
  </si>
  <si>
    <t>Z32-HK Refrigerated Centrifuge, 120V</t>
  </si>
  <si>
    <t>Z36-HK Refrigerated Centrifuge, 120V</t>
  </si>
  <si>
    <t>15ml adapter (conical or round) for 50ml PP rotors, 6/pk</t>
  </si>
  <si>
    <t>7ml round adapter for 50ml PP  rotors, 6/pk</t>
  </si>
  <si>
    <t>6 x 50ml low speed rotor</t>
  </si>
  <si>
    <t xml:space="preserve">4 x 85ml rotor </t>
  </si>
  <si>
    <t>Z216-1220H</t>
  </si>
  <si>
    <t>12 x HLA/1.5/2.0ml swing out rotor  (Z216-M only)</t>
  </si>
  <si>
    <t>24 x Hematocrit rotor  (Z216-M only)</t>
  </si>
  <si>
    <t>Distributor Cost</t>
  </si>
  <si>
    <t>38 x 10ml insert for Z496-1000-RBUK 2/pk</t>
  </si>
  <si>
    <t>7 x 10ml/15ml round bottom insert for Z306-100 2/pk.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</si>
</sst>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4"/>
      <color indexed="18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sz val="12"/>
      <color indexed="59"/>
      <name val="Arial"/>
      <family val="2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b/>
      <u/>
      <sz val="12"/>
      <color indexed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color rgb="FF008000"/>
      <name val="Arial"/>
      <family val="2"/>
    </font>
    <font>
      <sz val="11"/>
      <color rgb="FF00800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u/>
      <sz val="14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Helvetica Neue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B7B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Protection="0">
      <alignment vertical="top"/>
    </xf>
  </cellStyleXfs>
  <cellXfs count="130">
    <xf numFmtId="0" fontId="0" fillId="0" borderId="0" xfId="0"/>
    <xf numFmtId="0" fontId="8" fillId="2" borderId="1" xfId="0" applyFont="1" applyFill="1" applyBorder="1"/>
    <xf numFmtId="0" fontId="8" fillId="3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0" fillId="0" borderId="1" xfId="0" applyBorder="1"/>
    <xf numFmtId="10" fontId="4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0" fontId="4" fillId="0" borderId="1" xfId="0" applyFont="1" applyBorder="1"/>
    <xf numFmtId="10" fontId="4" fillId="0" borderId="1" xfId="0" applyNumberFormat="1" applyFont="1" applyBorder="1"/>
    <xf numFmtId="10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10" fontId="8" fillId="7" borderId="1" xfId="0" applyNumberFormat="1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right" wrapText="1"/>
    </xf>
    <xf numFmtId="165" fontId="8" fillId="2" borderId="1" xfId="0" applyNumberFormat="1" applyFont="1" applyFill="1" applyBorder="1" applyAlignment="1">
      <alignment horizontal="right" wrapText="1"/>
    </xf>
    <xf numFmtId="0" fontId="25" fillId="0" borderId="1" xfId="0" applyFont="1" applyBorder="1"/>
    <xf numFmtId="10" fontId="20" fillId="0" borderId="1" xfId="0" applyNumberFormat="1" applyFont="1" applyBorder="1" applyAlignment="1">
      <alignment horizontal="center"/>
    </xf>
    <xf numFmtId="165" fontId="28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0" fillId="0" borderId="0" xfId="0" applyNumberFormat="1"/>
    <xf numFmtId="0" fontId="8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0" fontId="10" fillId="11" borderId="0" xfId="0" applyFont="1" applyFill="1" applyAlignment="1">
      <alignment horizontal="center"/>
    </xf>
    <xf numFmtId="164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right"/>
    </xf>
    <xf numFmtId="0" fontId="4" fillId="11" borderId="0" xfId="0" applyFont="1" applyFill="1" applyAlignment="1">
      <alignment horizontal="right"/>
    </xf>
    <xf numFmtId="0" fontId="8" fillId="11" borderId="0" xfId="0" applyFont="1" applyFill="1"/>
    <xf numFmtId="0" fontId="15" fillId="11" borderId="0" xfId="0" applyFont="1" applyFill="1"/>
    <xf numFmtId="0" fontId="18" fillId="11" borderId="0" xfId="0" applyFont="1" applyFill="1"/>
    <xf numFmtId="14" fontId="3" fillId="11" borderId="0" xfId="0" applyNumberFormat="1" applyFont="1" applyFill="1" applyAlignment="1">
      <alignment horizontal="left"/>
    </xf>
    <xf numFmtId="0" fontId="0" fillId="11" borderId="0" xfId="0" applyFill="1" applyAlignment="1">
      <alignment horizontal="center"/>
    </xf>
    <xf numFmtId="164" fontId="7" fillId="11" borderId="0" xfId="0" applyNumberFormat="1" applyFont="1" applyFill="1"/>
    <xf numFmtId="0" fontId="9" fillId="11" borderId="0" xfId="0" applyFont="1" applyFill="1"/>
    <xf numFmtId="164" fontId="8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12" fillId="11" borderId="0" xfId="3" applyFont="1" applyFill="1" applyAlignment="1" applyProtection="1"/>
    <xf numFmtId="0" fontId="0" fillId="11" borderId="0" xfId="0" applyFill="1"/>
    <xf numFmtId="10" fontId="0" fillId="11" borderId="0" xfId="0" applyNumberFormat="1" applyFill="1"/>
    <xf numFmtId="164" fontId="8" fillId="11" borderId="0" xfId="0" applyNumberFormat="1" applyFont="1" applyFill="1"/>
    <xf numFmtId="0" fontId="15" fillId="12" borderId="0" xfId="0" applyFont="1" applyFill="1"/>
    <xf numFmtId="0" fontId="3" fillId="11" borderId="0" xfId="0" applyFont="1" applyFill="1"/>
    <xf numFmtId="0" fontId="14" fillId="11" borderId="0" xfId="0" applyFont="1" applyFill="1"/>
    <xf numFmtId="164" fontId="8" fillId="11" borderId="0" xfId="0" applyNumberFormat="1" applyFont="1" applyFill="1" applyAlignment="1">
      <alignment horizontal="center" wrapText="1"/>
    </xf>
    <xf numFmtId="16" fontId="12" fillId="11" borderId="0" xfId="3" applyNumberFormat="1" applyFont="1" applyFill="1" applyAlignment="1" applyProtection="1">
      <alignment horizontal="center"/>
    </xf>
    <xf numFmtId="10" fontId="12" fillId="11" borderId="0" xfId="3" applyNumberFormat="1" applyFont="1" applyFill="1" applyAlignment="1" applyProtection="1">
      <alignment horizontal="center"/>
    </xf>
    <xf numFmtId="0" fontId="8" fillId="11" borderId="0" xfId="0" applyFont="1" applyFill="1" applyAlignment="1">
      <alignment horizontal="center" wrapText="1"/>
    </xf>
    <xf numFmtId="10" fontId="8" fillId="11" borderId="0" xfId="0" applyNumberFormat="1" applyFont="1" applyFill="1" applyAlignment="1">
      <alignment horizontal="center" wrapText="1"/>
    </xf>
    <xf numFmtId="0" fontId="4" fillId="11" borderId="0" xfId="0" applyFont="1" applyFill="1"/>
    <xf numFmtId="10" fontId="4" fillId="11" borderId="0" xfId="0" applyNumberFormat="1" applyFont="1" applyFill="1"/>
    <xf numFmtId="164" fontId="16" fillId="11" borderId="0" xfId="0" applyNumberFormat="1" applyFont="1" applyFill="1" applyAlignment="1">
      <alignment horizontal="center" wrapText="1"/>
    </xf>
    <xf numFmtId="0" fontId="16" fillId="12" borderId="0" xfId="0" applyFont="1" applyFill="1"/>
    <xf numFmtId="16" fontId="8" fillId="11" borderId="0" xfId="0" applyNumberFormat="1" applyFont="1" applyFill="1" applyAlignment="1">
      <alignment horizontal="center" wrapText="1"/>
    </xf>
    <xf numFmtId="0" fontId="17" fillId="11" borderId="0" xfId="0" applyFont="1" applyFill="1"/>
    <xf numFmtId="0" fontId="5" fillId="11" borderId="0" xfId="0" applyFont="1" applyFill="1" applyAlignment="1">
      <alignment horizontal="center" wrapText="1"/>
    </xf>
    <xf numFmtId="164" fontId="4" fillId="7" borderId="1" xfId="0" applyNumberFormat="1" applyFont="1" applyFill="1" applyBorder="1"/>
    <xf numFmtId="16" fontId="8" fillId="4" borderId="1" xfId="0" applyNumberFormat="1" applyFont="1" applyFill="1" applyBorder="1" applyAlignment="1">
      <alignment horizontal="right" wrapText="1"/>
    </xf>
    <xf numFmtId="10" fontId="4" fillId="3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8" fillId="7" borderId="1" xfId="0" applyFont="1" applyFill="1" applyBorder="1" applyAlignment="1">
      <alignment vertical="center"/>
    </xf>
    <xf numFmtId="0" fontId="0" fillId="7" borderId="1" xfId="0" applyFill="1" applyBorder="1"/>
    <xf numFmtId="0" fontId="2" fillId="7" borderId="1" xfId="0" applyFont="1" applyFill="1" applyBorder="1"/>
    <xf numFmtId="44" fontId="0" fillId="7" borderId="1" xfId="1" applyFont="1" applyFill="1" applyBorder="1" applyAlignment="1">
      <alignment horizontal="right"/>
    </xf>
    <xf numFmtId="0" fontId="23" fillId="7" borderId="1" xfId="0" applyFont="1" applyFill="1" applyBorder="1"/>
    <xf numFmtId="0" fontId="23" fillId="7" borderId="1" xfId="0" applyFont="1" applyFill="1" applyBorder="1" applyAlignment="1">
      <alignment horizontal="left"/>
    </xf>
    <xf numFmtId="165" fontId="23" fillId="0" borderId="1" xfId="0" applyNumberFormat="1" applyFont="1" applyBorder="1" applyAlignment="1">
      <alignment horizontal="right"/>
    </xf>
    <xf numFmtId="0" fontId="0" fillId="3" borderId="1" xfId="0" applyFill="1" applyBorder="1"/>
    <xf numFmtId="0" fontId="31" fillId="0" borderId="0" xfId="0" applyFont="1"/>
    <xf numFmtId="10" fontId="32" fillId="7" borderId="1" xfId="0" applyNumberFormat="1" applyFont="1" applyFill="1" applyBorder="1" applyAlignment="1">
      <alignment horizontal="center"/>
    </xf>
    <xf numFmtId="0" fontId="23" fillId="0" borderId="1" xfId="0" applyFont="1" applyBorder="1"/>
    <xf numFmtId="10" fontId="4" fillId="11" borderId="0" xfId="0" applyNumberFormat="1" applyFont="1" applyFill="1" applyAlignment="1">
      <alignment horizontal="right"/>
    </xf>
    <xf numFmtId="1" fontId="25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wrapText="1"/>
    </xf>
    <xf numFmtId="10" fontId="21" fillId="0" borderId="1" xfId="0" applyNumberFormat="1" applyFont="1" applyBorder="1" applyAlignment="1">
      <alignment horizontal="right"/>
    </xf>
    <xf numFmtId="0" fontId="32" fillId="7" borderId="1" xfId="0" applyFont="1" applyFill="1" applyBorder="1" applyAlignment="1">
      <alignment vertical="center"/>
    </xf>
    <xf numFmtId="0" fontId="32" fillId="7" borderId="1" xfId="0" applyFont="1" applyFill="1" applyBorder="1" applyAlignment="1">
      <alignment vertical="center" wrapText="1"/>
    </xf>
    <xf numFmtId="0" fontId="26" fillId="7" borderId="1" xfId="0" applyFont="1" applyFill="1" applyBorder="1"/>
    <xf numFmtId="0" fontId="0" fillId="7" borderId="1" xfId="0" applyFill="1" applyBorder="1" applyAlignment="1">
      <alignment horizontal="left"/>
    </xf>
    <xf numFmtId="0" fontId="23" fillId="7" borderId="1" xfId="0" applyFont="1" applyFill="1" applyBorder="1" applyAlignment="1">
      <alignment vertical="center"/>
    </xf>
    <xf numFmtId="0" fontId="29" fillId="7" borderId="1" xfId="0" applyFont="1" applyFill="1" applyBorder="1" applyAlignment="1">
      <alignment vertical="center"/>
    </xf>
    <xf numFmtId="0" fontId="8" fillId="7" borderId="1" xfId="0" applyFont="1" applyFill="1" applyBorder="1"/>
    <xf numFmtId="0" fontId="22" fillId="7" borderId="1" xfId="0" applyFont="1" applyFill="1" applyBorder="1" applyAlignment="1">
      <alignment vertical="center"/>
    </xf>
    <xf numFmtId="0" fontId="22" fillId="6" borderId="1" xfId="0" applyFont="1" applyFill="1" applyBorder="1"/>
    <xf numFmtId="0" fontId="0" fillId="6" borderId="1" xfId="0" applyFill="1" applyBorder="1"/>
    <xf numFmtId="164" fontId="4" fillId="3" borderId="1" xfId="0" applyNumberFormat="1" applyFont="1" applyFill="1" applyBorder="1"/>
    <xf numFmtId="9" fontId="8" fillId="3" borderId="1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right"/>
    </xf>
    <xf numFmtId="165" fontId="0" fillId="6" borderId="1" xfId="0" applyNumberFormat="1" applyFill="1" applyBorder="1" applyAlignment="1">
      <alignment horizontal="right"/>
    </xf>
    <xf numFmtId="0" fontId="22" fillId="7" borderId="1" xfId="0" applyFont="1" applyFill="1" applyBorder="1"/>
    <xf numFmtId="0" fontId="31" fillId="7" borderId="1" xfId="0" applyFont="1" applyFill="1" applyBorder="1"/>
    <xf numFmtId="165" fontId="4" fillId="11" borderId="0" xfId="0" applyNumberFormat="1" applyFont="1" applyFill="1" applyAlignment="1">
      <alignment horizontal="right"/>
    </xf>
    <xf numFmtId="165" fontId="7" fillId="11" borderId="0" xfId="0" applyNumberFormat="1" applyFont="1" applyFill="1"/>
    <xf numFmtId="165" fontId="8" fillId="11" borderId="0" xfId="0" applyNumberFormat="1" applyFont="1" applyFill="1"/>
    <xf numFmtId="165" fontId="8" fillId="11" borderId="0" xfId="0" applyNumberFormat="1" applyFont="1" applyFill="1" applyAlignment="1">
      <alignment horizontal="center" wrapText="1"/>
    </xf>
    <xf numFmtId="165" fontId="0" fillId="0" borderId="0" xfId="0" applyNumberFormat="1"/>
    <xf numFmtId="165" fontId="23" fillId="0" borderId="1" xfId="0" applyNumberFormat="1" applyFont="1" applyBorder="1"/>
    <xf numFmtId="165" fontId="23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horizontal="right"/>
    </xf>
    <xf numFmtId="165" fontId="0" fillId="6" borderId="1" xfId="0" applyNumberFormat="1" applyFill="1" applyBorder="1"/>
    <xf numFmtId="165" fontId="0" fillId="3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165" fontId="23" fillId="0" borderId="1" xfId="0" applyNumberFormat="1" applyFont="1" applyBorder="1" applyAlignment="1">
      <alignment horizontal="right" wrapText="1"/>
    </xf>
    <xf numFmtId="165" fontId="25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25" fillId="0" borderId="1" xfId="0" applyNumberFormat="1" applyFont="1" applyBorder="1"/>
    <xf numFmtId="165" fontId="0" fillId="0" borderId="1" xfId="0" applyNumberFormat="1" applyBorder="1"/>
    <xf numFmtId="165" fontId="25" fillId="0" borderId="1" xfId="0" applyNumberFormat="1" applyFont="1" applyBorder="1" applyAlignment="1">
      <alignment horizontal="center"/>
    </xf>
    <xf numFmtId="9" fontId="25" fillId="0" borderId="1" xfId="0" applyNumberFormat="1" applyFont="1" applyBorder="1" applyAlignment="1">
      <alignment horizontal="center"/>
    </xf>
    <xf numFmtId="44" fontId="0" fillId="7" borderId="1" xfId="1" applyFont="1" applyFill="1" applyBorder="1"/>
    <xf numFmtId="44" fontId="4" fillId="7" borderId="1" xfId="1" applyFont="1" applyFill="1" applyBorder="1"/>
    <xf numFmtId="44" fontId="4" fillId="7" borderId="1" xfId="1" applyFont="1" applyFill="1" applyBorder="1" applyAlignment="1">
      <alignment horizontal="right" vertical="center"/>
    </xf>
    <xf numFmtId="44" fontId="24" fillId="7" borderId="1" xfId="1" applyFont="1" applyFill="1" applyBorder="1"/>
    <xf numFmtId="44" fontId="31" fillId="7" borderId="1" xfId="1" applyFont="1" applyFill="1" applyBorder="1"/>
    <xf numFmtId="44" fontId="25" fillId="7" borderId="1" xfId="1" applyFont="1" applyFill="1" applyBorder="1"/>
    <xf numFmtId="44" fontId="4" fillId="0" borderId="1" xfId="1" applyFont="1" applyFill="1" applyBorder="1"/>
    <xf numFmtId="44" fontId="4" fillId="9" borderId="1" xfId="1" applyFont="1" applyFill="1" applyBorder="1" applyAlignment="1">
      <alignment horizontal="center"/>
    </xf>
    <xf numFmtId="44" fontId="32" fillId="9" borderId="1" xfId="1" applyFont="1" applyFill="1" applyBorder="1" applyAlignment="1">
      <alignment horizontal="center"/>
    </xf>
    <xf numFmtId="44" fontId="4" fillId="0" borderId="1" xfId="1" applyFont="1" applyFill="1" applyBorder="1" applyAlignment="1">
      <alignment horizontal="center"/>
    </xf>
    <xf numFmtId="44" fontId="0" fillId="10" borderId="1" xfId="1" applyFont="1" applyFill="1" applyBorder="1"/>
    <xf numFmtId="44" fontId="0" fillId="0" borderId="0" xfId="0" applyNumberFormat="1"/>
    <xf numFmtId="9" fontId="0" fillId="7" borderId="1" xfId="2" applyFont="1" applyFill="1" applyBorder="1"/>
    <xf numFmtId="9" fontId="35" fillId="8" borderId="1" xfId="1" applyNumberFormat="1" applyFont="1" applyFill="1" applyBorder="1"/>
    <xf numFmtId="44" fontId="35" fillId="8" borderId="1" xfId="1" applyFont="1" applyFill="1" applyBorder="1"/>
    <xf numFmtId="44" fontId="36" fillId="8" borderId="1" xfId="1" applyFont="1" applyFill="1" applyBorder="1"/>
    <xf numFmtId="44" fontId="36" fillId="8" borderId="1" xfId="1" applyFont="1" applyFill="1" applyBorder="1" applyAlignment="1">
      <alignment horizontal="right" vertical="center"/>
    </xf>
    <xf numFmtId="0" fontId="5" fillId="11" borderId="0" xfId="0" applyFont="1" applyFill="1" applyAlignment="1">
      <alignment horizontal="center" wrapText="1"/>
    </xf>
  </cellXfs>
  <cellStyles count="8">
    <cellStyle name="Currency" xfId="1" builtinId="4"/>
    <cellStyle name="Hyperlink" xfId="3" builtinId="8"/>
    <cellStyle name="Hyperlink 2" xfId="6" xr:uid="{8681942C-F78B-42F0-97A1-4E8C44E13176}"/>
    <cellStyle name="Normal" xfId="0" builtinId="0"/>
    <cellStyle name="Normal 2" xfId="5" xr:uid="{10D463FE-F90A-4F02-AC82-A895511EA121}"/>
    <cellStyle name="Normal 2 2" xfId="4" xr:uid="{00000000-0005-0000-0000-000004000000}"/>
    <cellStyle name="Normal 3" xfId="7" xr:uid="{837BC14D-697C-4A55-B8FD-92CA04D1BD78}"/>
    <cellStyle name="Percent" xfId="2" builtinId="5"/>
  </cellStyles>
  <dxfs count="0"/>
  <tableStyles count="0" defaultTableStyle="TableStyleMedium2" defaultPivotStyle="PivotStyleLight16"/>
  <colors>
    <mruColors>
      <color rgb="FFC2E59B"/>
      <color rgb="FFDAC2EC"/>
      <color rgb="FF9999FF"/>
      <color rgb="FFFEB7B0"/>
      <color rgb="FFD1B2E8"/>
      <color rgb="FFAC75D5"/>
      <color rgb="FFBC8FDD"/>
      <color rgb="FFF5B4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2" name="Picture 1" descr="Benchmark Logo">
          <a:extLst>
            <a:ext uri="{FF2B5EF4-FFF2-40B4-BE49-F238E27FC236}">
              <a16:creationId xmlns:a16="http://schemas.microsoft.com/office/drawing/2014/main" id="{FEB4A410-5469-4B17-8971-4AA3F717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3" name="Picture 2" descr="Benchmark Logo">
          <a:extLst>
            <a:ext uri="{FF2B5EF4-FFF2-40B4-BE49-F238E27FC236}">
              <a16:creationId xmlns:a16="http://schemas.microsoft.com/office/drawing/2014/main" id="{C3652EBC-ECAF-499A-9177-3A6C1134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4" name="Picture 3" descr="Benchmark Logo">
          <a:extLst>
            <a:ext uri="{FF2B5EF4-FFF2-40B4-BE49-F238E27FC236}">
              <a16:creationId xmlns:a16="http://schemas.microsoft.com/office/drawing/2014/main" id="{E604F1A9-E5A1-42D4-AD5E-04DD6B077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5" name="Picture 4" descr="Benchmark Logo">
          <a:extLst>
            <a:ext uri="{FF2B5EF4-FFF2-40B4-BE49-F238E27FC236}">
              <a16:creationId xmlns:a16="http://schemas.microsoft.com/office/drawing/2014/main" id="{E089BC53-EE92-4D05-A171-5A638293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6" name="Picture 5" descr="Benchmark Logo">
          <a:extLst>
            <a:ext uri="{FF2B5EF4-FFF2-40B4-BE49-F238E27FC236}">
              <a16:creationId xmlns:a16="http://schemas.microsoft.com/office/drawing/2014/main" id="{8553BC08-7496-457A-8985-A14CC551B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263978</xdr:colOff>
      <xdr:row>0</xdr:row>
      <xdr:rowOff>0</xdr:rowOff>
    </xdr:from>
    <xdr:to>
      <xdr:col>1</xdr:col>
      <xdr:colOff>4194956</xdr:colOff>
      <xdr:row>0</xdr:row>
      <xdr:rowOff>758548</xdr:rowOff>
    </xdr:to>
    <xdr:pic>
      <xdr:nvPicPr>
        <xdr:cNvPr id="7" name="Picture 6" descr="Benchmark Logo">
          <a:extLst>
            <a:ext uri="{FF2B5EF4-FFF2-40B4-BE49-F238E27FC236}">
              <a16:creationId xmlns:a16="http://schemas.microsoft.com/office/drawing/2014/main" id="{FBD82A64-46AB-42F0-B7D7-0B332E59E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92828" y="0"/>
          <a:ext cx="3930978" cy="758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02EA-9850-461C-9A8E-9E813FF07ECB}">
  <sheetPr>
    <pageSetUpPr fitToPage="1"/>
  </sheetPr>
  <dimension ref="A1:O3265"/>
  <sheetViews>
    <sheetView tabSelected="1" topLeftCell="A119" zoomScaleNormal="100" workbookViewId="0">
      <selection activeCell="A135" sqref="A135"/>
    </sheetView>
  </sheetViews>
  <sheetFormatPr defaultRowHeight="15"/>
  <cols>
    <col min="1" max="1" width="33.42578125" customWidth="1"/>
    <col min="2" max="2" width="66.7109375" customWidth="1"/>
    <col min="3" max="3" width="14.5703125" style="21" customWidth="1"/>
    <col min="4" max="4" width="1.7109375" style="21" customWidth="1"/>
    <col min="5" max="5" width="1.42578125" style="21" customWidth="1"/>
    <col min="6" max="6" width="17.85546875" customWidth="1"/>
    <col min="7" max="7" width="0.5703125" customWidth="1"/>
    <col min="8" max="8" width="10.85546875" customWidth="1"/>
    <col min="9" max="9" width="14.7109375" style="97" bestFit="1" customWidth="1"/>
    <col min="11" max="11" width="15" customWidth="1"/>
    <col min="12" max="12" width="11.5703125" bestFit="1" customWidth="1"/>
    <col min="15" max="15" width="12.7109375" hidden="1" customWidth="1"/>
  </cols>
  <sheetData>
    <row r="1" spans="1:15" ht="63" customHeight="1">
      <c r="A1" s="32"/>
      <c r="B1" s="33"/>
      <c r="C1" s="26"/>
      <c r="D1" s="26"/>
      <c r="E1" s="26"/>
      <c r="F1" s="28"/>
      <c r="G1" s="73"/>
      <c r="H1" s="28"/>
      <c r="I1" s="93"/>
      <c r="J1" s="27"/>
      <c r="K1" s="27"/>
    </row>
    <row r="2" spans="1:15" ht="20.25" customHeight="1">
      <c r="A2" s="129" t="s">
        <v>533</v>
      </c>
      <c r="B2" s="129"/>
      <c r="C2" s="129"/>
      <c r="D2" s="56"/>
      <c r="E2" s="56"/>
      <c r="F2" s="34"/>
      <c r="G2" s="34"/>
      <c r="H2" s="34"/>
      <c r="I2" s="94"/>
      <c r="J2" s="34"/>
      <c r="K2" s="34"/>
    </row>
    <row r="3" spans="1:15" ht="15.75">
      <c r="A3" s="35"/>
      <c r="B3" s="25" t="s">
        <v>0</v>
      </c>
      <c r="C3" s="36"/>
      <c r="D3" s="36"/>
      <c r="E3" s="36"/>
      <c r="F3" s="34"/>
      <c r="G3" s="34"/>
      <c r="H3" s="34"/>
      <c r="I3" s="94"/>
      <c r="J3" s="34"/>
      <c r="K3" s="34"/>
    </row>
    <row r="4" spans="1:15" ht="15.75">
      <c r="A4" s="37" t="s">
        <v>1</v>
      </c>
      <c r="B4" s="38"/>
      <c r="C4" s="36"/>
      <c r="D4" s="36"/>
      <c r="E4" s="36"/>
      <c r="F4" s="39"/>
      <c r="G4" s="40"/>
      <c r="H4" s="29"/>
      <c r="I4" s="95"/>
      <c r="J4" s="41"/>
      <c r="K4" s="39"/>
    </row>
    <row r="5" spans="1:15" ht="15.75">
      <c r="A5" s="38" t="s">
        <v>2</v>
      </c>
      <c r="B5" s="42"/>
      <c r="C5" s="36"/>
      <c r="D5" s="36"/>
      <c r="E5" s="36"/>
      <c r="F5" s="39"/>
      <c r="G5" s="40"/>
      <c r="H5" s="29"/>
      <c r="I5" s="95"/>
      <c r="J5" s="41"/>
      <c r="K5" s="39"/>
    </row>
    <row r="6" spans="1:15" ht="15.75">
      <c r="A6" s="43" t="s">
        <v>241</v>
      </c>
      <c r="B6" s="44"/>
      <c r="C6" s="36"/>
      <c r="D6" s="36"/>
      <c r="E6" s="36"/>
      <c r="F6" s="39"/>
      <c r="G6" s="40"/>
      <c r="H6" s="29"/>
      <c r="I6" s="95"/>
      <c r="J6" s="41"/>
      <c r="K6" s="39"/>
    </row>
    <row r="7" spans="1:15" ht="15.75">
      <c r="A7" s="39"/>
      <c r="B7" s="29"/>
      <c r="C7" s="45"/>
      <c r="D7" s="45"/>
      <c r="E7" s="45"/>
      <c r="F7" s="46" t="s">
        <v>3</v>
      </c>
      <c r="G7" s="47"/>
      <c r="H7" s="48"/>
      <c r="I7" s="96"/>
      <c r="J7" s="48"/>
      <c r="K7" s="48"/>
    </row>
    <row r="8" spans="1:15">
      <c r="A8" s="42"/>
      <c r="B8" s="30"/>
      <c r="C8" s="45"/>
      <c r="D8" s="45"/>
      <c r="E8" s="45"/>
      <c r="F8" s="50"/>
      <c r="G8" s="51"/>
      <c r="H8" s="48"/>
      <c r="I8" s="96"/>
      <c r="J8" s="48"/>
      <c r="K8" s="48"/>
    </row>
    <row r="9" spans="1:15">
      <c r="A9" s="42"/>
      <c r="B9" s="42"/>
      <c r="C9" s="52"/>
      <c r="D9" s="52"/>
      <c r="E9" s="52"/>
      <c r="F9" s="50"/>
      <c r="G9" s="51"/>
      <c r="H9" s="48"/>
      <c r="I9" s="96"/>
      <c r="J9" s="48"/>
      <c r="K9" s="48"/>
    </row>
    <row r="10" spans="1:15">
      <c r="A10" s="39"/>
      <c r="B10" s="53"/>
      <c r="C10" s="52"/>
      <c r="D10" s="52"/>
      <c r="E10" s="52"/>
      <c r="F10" s="54"/>
      <c r="G10" s="49"/>
      <c r="H10" s="48"/>
      <c r="I10" s="96"/>
      <c r="J10" s="48"/>
      <c r="K10" s="48"/>
    </row>
    <row r="11" spans="1:15" ht="15.75">
      <c r="A11" s="55"/>
      <c r="B11" s="31"/>
      <c r="C11" s="52"/>
      <c r="D11" s="52"/>
      <c r="E11" s="52"/>
      <c r="F11" s="54"/>
      <c r="G11" s="49"/>
      <c r="H11" s="48"/>
      <c r="I11" s="96"/>
      <c r="J11" s="48"/>
      <c r="K11" s="48"/>
    </row>
    <row r="12" spans="1:15" ht="18">
      <c r="A12" s="85" t="s">
        <v>16</v>
      </c>
      <c r="B12" s="86"/>
      <c r="C12" s="87"/>
      <c r="D12" s="87"/>
      <c r="E12" s="87"/>
      <c r="F12" s="88"/>
      <c r="G12" s="5"/>
      <c r="H12" s="89"/>
      <c r="I12" s="90"/>
      <c r="J12" s="86"/>
      <c r="K12" s="86"/>
    </row>
    <row r="13" spans="1:15" ht="45.75" customHeight="1">
      <c r="A13" s="1" t="s">
        <v>4</v>
      </c>
      <c r="B13" s="1" t="s">
        <v>5</v>
      </c>
      <c r="C13" s="20" t="s">
        <v>6</v>
      </c>
      <c r="D13" s="20"/>
      <c r="E13" s="20"/>
      <c r="F13" s="58" t="s">
        <v>558</v>
      </c>
      <c r="G13" s="13"/>
      <c r="H13" s="14" t="s">
        <v>7</v>
      </c>
      <c r="I13" s="15" t="s">
        <v>8</v>
      </c>
      <c r="J13" s="2"/>
      <c r="K13" s="3" t="s">
        <v>9</v>
      </c>
    </row>
    <row r="14" spans="1:15" ht="18">
      <c r="A14" s="91" t="s">
        <v>27</v>
      </c>
      <c r="B14" s="63"/>
      <c r="C14" s="57"/>
      <c r="D14" s="57"/>
      <c r="E14" s="57"/>
      <c r="F14" s="88"/>
      <c r="G14" s="5"/>
      <c r="H14" s="89"/>
      <c r="I14" s="90"/>
      <c r="J14" s="90"/>
      <c r="K14" s="86"/>
    </row>
    <row r="15" spans="1:15">
      <c r="A15" s="62" t="s">
        <v>47</v>
      </c>
      <c r="B15" s="62" t="s">
        <v>537</v>
      </c>
      <c r="C15" s="112">
        <v>2621.2368000000001</v>
      </c>
      <c r="D15" s="125">
        <v>0.02</v>
      </c>
      <c r="E15" s="124">
        <v>0.04</v>
      </c>
      <c r="F15" s="119">
        <f t="shared" ref="F15:F25" si="0">C15*(1-G15)</f>
        <v>1572.74208</v>
      </c>
      <c r="G15" s="5">
        <v>0.4</v>
      </c>
      <c r="H15" s="103">
        <f>I15*2.2046</f>
        <v>28.659800000000001</v>
      </c>
      <c r="I15" s="100">
        <v>13</v>
      </c>
      <c r="J15" s="63"/>
      <c r="K15" s="122">
        <f t="shared" ref="K15:K25" si="1">C15*0.88</f>
        <v>2306.688384</v>
      </c>
      <c r="O15" s="112">
        <v>2569.84</v>
      </c>
    </row>
    <row r="16" spans="1:15">
      <c r="A16" s="62" t="s">
        <v>166</v>
      </c>
      <c r="B16" s="62" t="s">
        <v>167</v>
      </c>
      <c r="C16" s="112">
        <v>2621.2368000000001</v>
      </c>
      <c r="D16" s="125">
        <v>0.02</v>
      </c>
      <c r="E16" s="124">
        <v>0.04</v>
      </c>
      <c r="F16" s="119">
        <f t="shared" si="0"/>
        <v>1572.74208</v>
      </c>
      <c r="G16" s="5">
        <v>0.4</v>
      </c>
      <c r="H16" s="103">
        <f>I16*2.2046</f>
        <v>28.659800000000001</v>
      </c>
      <c r="I16" s="100">
        <v>13</v>
      </c>
      <c r="J16" s="63"/>
      <c r="K16" s="122">
        <f t="shared" si="1"/>
        <v>2306.688384</v>
      </c>
      <c r="O16" s="112">
        <v>2569.84</v>
      </c>
    </row>
    <row r="17" spans="1:15">
      <c r="A17" s="63" t="s">
        <v>48</v>
      </c>
      <c r="B17" s="63" t="s">
        <v>190</v>
      </c>
      <c r="C17" s="112">
        <v>831.03071999999997</v>
      </c>
      <c r="D17" s="125">
        <v>0.02</v>
      </c>
      <c r="E17" s="124">
        <v>0.04</v>
      </c>
      <c r="F17" s="119">
        <f t="shared" si="0"/>
        <v>498.61843199999998</v>
      </c>
      <c r="G17" s="5">
        <v>0.4</v>
      </c>
      <c r="H17" s="103">
        <f t="shared" ref="H17:H25" si="2">I17*2.2046</f>
        <v>4.1887400000000001</v>
      </c>
      <c r="I17" s="100">
        <v>1.9</v>
      </c>
      <c r="J17" s="63"/>
      <c r="K17" s="122">
        <f t="shared" si="1"/>
        <v>731.30703359999995</v>
      </c>
      <c r="O17" s="112">
        <v>814.73599999999999</v>
      </c>
    </row>
    <row r="18" spans="1:15">
      <c r="A18" s="63" t="s">
        <v>15</v>
      </c>
      <c r="B18" s="63" t="s">
        <v>289</v>
      </c>
      <c r="C18" s="112">
        <v>124.39104000000002</v>
      </c>
      <c r="D18" s="125">
        <v>0.02</v>
      </c>
      <c r="E18" s="124">
        <v>0.03</v>
      </c>
      <c r="F18" s="119">
        <f t="shared" si="0"/>
        <v>68.415072000000009</v>
      </c>
      <c r="G18" s="5">
        <v>0.45</v>
      </c>
      <c r="H18" s="103">
        <f t="shared" si="2"/>
        <v>4.8501200000000004</v>
      </c>
      <c r="I18" s="100">
        <v>2.2000000000000002</v>
      </c>
      <c r="J18" s="63"/>
      <c r="K18" s="122">
        <f t="shared" si="1"/>
        <v>109.46411520000002</v>
      </c>
      <c r="O18" s="112">
        <v>121.95200000000001</v>
      </c>
    </row>
    <row r="19" spans="1:15">
      <c r="A19" s="63" t="s">
        <v>326</v>
      </c>
      <c r="B19" s="63" t="s">
        <v>290</v>
      </c>
      <c r="C19" s="112">
        <v>63.75</v>
      </c>
      <c r="D19" s="125">
        <v>0.02</v>
      </c>
      <c r="E19" s="124">
        <v>0.03</v>
      </c>
      <c r="F19" s="119">
        <f t="shared" si="0"/>
        <v>35.0625</v>
      </c>
      <c r="G19" s="5">
        <v>0.45</v>
      </c>
      <c r="H19" s="103">
        <f t="shared" si="2"/>
        <v>7.0547200000000005</v>
      </c>
      <c r="I19" s="100">
        <v>3.2</v>
      </c>
      <c r="J19" s="63"/>
      <c r="K19" s="122">
        <f t="shared" si="1"/>
        <v>56.1</v>
      </c>
      <c r="O19" s="112">
        <v>62.5</v>
      </c>
    </row>
    <row r="20" spans="1:15">
      <c r="A20" s="63" t="s">
        <v>49</v>
      </c>
      <c r="B20" s="63" t="s">
        <v>211</v>
      </c>
      <c r="C20" s="112">
        <v>1122.64464</v>
      </c>
      <c r="D20" s="125">
        <v>0.02</v>
      </c>
      <c r="E20" s="124">
        <v>0.04</v>
      </c>
      <c r="F20" s="119">
        <f t="shared" si="0"/>
        <v>673.58678399999997</v>
      </c>
      <c r="G20" s="5">
        <v>0.4</v>
      </c>
      <c r="H20" s="103">
        <f t="shared" si="2"/>
        <v>4.4092000000000002</v>
      </c>
      <c r="I20" s="100">
        <v>2</v>
      </c>
      <c r="J20" s="63"/>
      <c r="K20" s="122">
        <f t="shared" si="1"/>
        <v>987.92728320000003</v>
      </c>
      <c r="O20" s="112">
        <v>1100.6320000000001</v>
      </c>
    </row>
    <row r="21" spans="1:15">
      <c r="A21" s="63" t="s">
        <v>327</v>
      </c>
      <c r="B21" s="63" t="s">
        <v>551</v>
      </c>
      <c r="C21" s="112">
        <v>153.17952000000002</v>
      </c>
      <c r="D21" s="125">
        <v>0.02</v>
      </c>
      <c r="E21" s="124">
        <v>0.04</v>
      </c>
      <c r="F21" s="119">
        <f t="shared" si="0"/>
        <v>91.907712000000018</v>
      </c>
      <c r="G21" s="5">
        <v>0.4</v>
      </c>
      <c r="H21" s="103">
        <f t="shared" si="2"/>
        <v>9.7002400000000009</v>
      </c>
      <c r="I21" s="100">
        <v>4.4000000000000004</v>
      </c>
      <c r="J21" s="63"/>
      <c r="K21" s="122">
        <f t="shared" si="1"/>
        <v>134.79797760000002</v>
      </c>
      <c r="O21" s="112">
        <v>150.17600000000002</v>
      </c>
    </row>
    <row r="22" spans="1:15">
      <c r="A22" s="63" t="s">
        <v>328</v>
      </c>
      <c r="B22" s="63" t="s">
        <v>552</v>
      </c>
      <c r="C22" s="112">
        <v>153.17952000000002</v>
      </c>
      <c r="D22" s="125">
        <v>0.02</v>
      </c>
      <c r="E22" s="124">
        <v>0.04</v>
      </c>
      <c r="F22" s="119">
        <f t="shared" si="0"/>
        <v>91.907712000000018</v>
      </c>
      <c r="G22" s="5">
        <v>0.4</v>
      </c>
      <c r="H22" s="103">
        <f t="shared" si="2"/>
        <v>9.7002400000000009</v>
      </c>
      <c r="I22" s="100">
        <v>4.4000000000000004</v>
      </c>
      <c r="J22" s="63"/>
      <c r="K22" s="122">
        <f t="shared" si="1"/>
        <v>134.79797760000002</v>
      </c>
      <c r="O22" s="112">
        <v>150.17600000000002</v>
      </c>
    </row>
    <row r="23" spans="1:15">
      <c r="A23" s="63" t="s">
        <v>329</v>
      </c>
      <c r="B23" s="63" t="s">
        <v>191</v>
      </c>
      <c r="C23" s="112">
        <v>52.721760000000003</v>
      </c>
      <c r="D23" s="125">
        <v>0.02</v>
      </c>
      <c r="E23" s="124">
        <v>0.04</v>
      </c>
      <c r="F23" s="119">
        <f t="shared" si="0"/>
        <v>31.633056</v>
      </c>
      <c r="G23" s="5">
        <v>0.4</v>
      </c>
      <c r="H23" s="103">
        <v>1</v>
      </c>
      <c r="I23" s="100">
        <v>0.5</v>
      </c>
      <c r="J23" s="63"/>
      <c r="K23" s="122">
        <f t="shared" si="1"/>
        <v>46.395148800000001</v>
      </c>
      <c r="O23" s="112">
        <v>51.688000000000002</v>
      </c>
    </row>
    <row r="24" spans="1:15">
      <c r="A24" s="63" t="s">
        <v>50</v>
      </c>
      <c r="B24" s="63" t="s">
        <v>212</v>
      </c>
      <c r="C24" s="112">
        <v>612.82416000000012</v>
      </c>
      <c r="D24" s="125">
        <v>0.02</v>
      </c>
      <c r="E24" s="124">
        <v>0.04</v>
      </c>
      <c r="F24" s="119">
        <f t="shared" si="0"/>
        <v>367.69449600000002</v>
      </c>
      <c r="G24" s="5">
        <v>0.40000000000000008</v>
      </c>
      <c r="H24" s="103">
        <f t="shared" si="2"/>
        <v>0.88184000000000007</v>
      </c>
      <c r="I24" s="100">
        <v>0.4</v>
      </c>
      <c r="J24" s="63"/>
      <c r="K24" s="122">
        <f t="shared" si="1"/>
        <v>539.28526080000006</v>
      </c>
      <c r="O24" s="112">
        <v>600.80800000000011</v>
      </c>
    </row>
    <row r="25" spans="1:15">
      <c r="A25" s="63" t="s">
        <v>51</v>
      </c>
      <c r="B25" s="63" t="s">
        <v>45</v>
      </c>
      <c r="C25" s="112">
        <v>873.88703999999996</v>
      </c>
      <c r="D25" s="125">
        <v>0.02</v>
      </c>
      <c r="E25" s="124">
        <v>0.04</v>
      </c>
      <c r="F25" s="119">
        <f t="shared" si="0"/>
        <v>524.33222399999988</v>
      </c>
      <c r="G25" s="5">
        <v>0.40000000000000008</v>
      </c>
      <c r="H25" s="103">
        <f t="shared" si="2"/>
        <v>2.2046000000000001</v>
      </c>
      <c r="I25" s="100">
        <v>1</v>
      </c>
      <c r="J25" s="63"/>
      <c r="K25" s="122">
        <f t="shared" si="1"/>
        <v>769.0205952</v>
      </c>
      <c r="O25" s="112">
        <v>856.75199999999995</v>
      </c>
    </row>
    <row r="26" spans="1:15">
      <c r="A26" s="63"/>
      <c r="B26" s="63"/>
      <c r="C26" s="112"/>
      <c r="D26" s="126"/>
      <c r="E26" s="124"/>
      <c r="F26" s="119"/>
      <c r="G26" s="5"/>
      <c r="H26" s="103"/>
      <c r="I26" s="100"/>
      <c r="J26" s="63"/>
      <c r="K26" s="122"/>
      <c r="O26" s="112"/>
    </row>
    <row r="27" spans="1:15">
      <c r="A27" s="63"/>
      <c r="B27" s="63"/>
      <c r="C27" s="112"/>
      <c r="D27" s="126"/>
      <c r="E27" s="124"/>
      <c r="F27" s="119"/>
      <c r="G27" s="5"/>
      <c r="H27" s="103"/>
      <c r="I27" s="100"/>
      <c r="J27" s="63"/>
      <c r="K27" s="122"/>
      <c r="O27" s="112"/>
    </row>
    <row r="28" spans="1:15" ht="18">
      <c r="A28" s="91" t="s">
        <v>304</v>
      </c>
      <c r="B28" s="63"/>
      <c r="C28" s="113"/>
      <c r="D28" s="127"/>
      <c r="E28" s="124"/>
      <c r="F28" s="119"/>
      <c r="G28" s="89"/>
      <c r="H28" s="89"/>
      <c r="I28" s="90"/>
      <c r="J28" s="90"/>
      <c r="K28" s="122"/>
      <c r="O28" s="113"/>
    </row>
    <row r="29" spans="1:15">
      <c r="A29" s="22" t="s">
        <v>248</v>
      </c>
      <c r="B29" s="61" t="s">
        <v>538</v>
      </c>
      <c r="C29" s="114">
        <v>2645.3057400000002</v>
      </c>
      <c r="D29" s="125">
        <v>0.02</v>
      </c>
      <c r="E29" s="124">
        <v>0.03</v>
      </c>
      <c r="F29" s="119">
        <f>C29*(1-G29)</f>
        <v>1587.1834439999998</v>
      </c>
      <c r="G29" s="5">
        <v>0.40000000000000008</v>
      </c>
      <c r="H29" s="6">
        <v>30</v>
      </c>
      <c r="I29" s="68">
        <v>14</v>
      </c>
      <c r="J29" s="24"/>
      <c r="K29" s="122">
        <f>C29*0.88</f>
        <v>2327.8690512000003</v>
      </c>
      <c r="O29" s="114">
        <v>2593.4370000000004</v>
      </c>
    </row>
    <row r="30" spans="1:15">
      <c r="A30" s="22" t="s">
        <v>249</v>
      </c>
      <c r="B30" s="61" t="s">
        <v>303</v>
      </c>
      <c r="C30" s="114">
        <v>2645.3057400000002</v>
      </c>
      <c r="D30" s="125">
        <v>0.02</v>
      </c>
      <c r="E30" s="124">
        <v>0.03</v>
      </c>
      <c r="F30" s="119">
        <f>C30*(1-G30)</f>
        <v>1587.1834439999998</v>
      </c>
      <c r="G30" s="5">
        <v>0.40000000000000008</v>
      </c>
      <c r="H30" s="6">
        <v>30</v>
      </c>
      <c r="I30" s="68">
        <v>14</v>
      </c>
      <c r="J30" s="24"/>
      <c r="K30" s="122">
        <f>C30*0.88</f>
        <v>2327.8690512000003</v>
      </c>
      <c r="O30" s="114">
        <v>2593.4370000000004</v>
      </c>
    </row>
    <row r="31" spans="1:15">
      <c r="A31" s="22" t="s">
        <v>250</v>
      </c>
      <c r="B31" s="61" t="s">
        <v>251</v>
      </c>
      <c r="C31" s="114">
        <v>169.983</v>
      </c>
      <c r="D31" s="125">
        <v>0.02</v>
      </c>
      <c r="E31" s="124">
        <v>0.04</v>
      </c>
      <c r="F31" s="119">
        <f>C31*(1-G31)</f>
        <v>101.98979999999997</v>
      </c>
      <c r="G31" s="5">
        <v>0.40000000000000008</v>
      </c>
      <c r="H31" s="6">
        <v>1</v>
      </c>
      <c r="I31" s="68">
        <v>0.5</v>
      </c>
      <c r="J31" s="24"/>
      <c r="K31" s="122">
        <f>C31*0.88</f>
        <v>149.58503999999999</v>
      </c>
      <c r="O31" s="114">
        <v>166.65</v>
      </c>
    </row>
    <row r="32" spans="1:15">
      <c r="A32" s="22" t="s">
        <v>252</v>
      </c>
      <c r="B32" s="61" t="s">
        <v>253</v>
      </c>
      <c r="C32" s="114">
        <v>169.983</v>
      </c>
      <c r="D32" s="125">
        <v>0.02</v>
      </c>
      <c r="E32" s="124">
        <v>0.04</v>
      </c>
      <c r="F32" s="119">
        <f>C32*(1-G32)</f>
        <v>101.98979999999997</v>
      </c>
      <c r="G32" s="5">
        <v>0.40000000000000008</v>
      </c>
      <c r="H32" s="6">
        <v>1</v>
      </c>
      <c r="I32" s="68">
        <v>0.5</v>
      </c>
      <c r="J32" s="24"/>
      <c r="K32" s="122">
        <f>C32*0.88</f>
        <v>149.58503999999999</v>
      </c>
      <c r="O32" s="114">
        <v>166.65</v>
      </c>
    </row>
    <row r="33" spans="1:15">
      <c r="A33" s="22" t="s">
        <v>305</v>
      </c>
      <c r="B33" s="61" t="s">
        <v>306</v>
      </c>
      <c r="C33" s="114">
        <v>169.983</v>
      </c>
      <c r="D33" s="125">
        <v>0.02</v>
      </c>
      <c r="E33" s="124">
        <v>0.04</v>
      </c>
      <c r="F33" s="119">
        <f>C33*(1-G33)</f>
        <v>101.98979999999997</v>
      </c>
      <c r="G33" s="5">
        <v>0.40000000000000008</v>
      </c>
      <c r="H33" s="6">
        <v>1</v>
      </c>
      <c r="I33" s="68">
        <v>0.5</v>
      </c>
      <c r="J33" s="24"/>
      <c r="K33" s="122">
        <f>C33*0.88</f>
        <v>149.58503999999999</v>
      </c>
      <c r="O33" s="114">
        <v>166.65</v>
      </c>
    </row>
    <row r="34" spans="1:15">
      <c r="A34" s="63"/>
      <c r="B34" s="63"/>
      <c r="C34" s="112"/>
      <c r="D34" s="126"/>
      <c r="E34" s="124"/>
      <c r="F34" s="119"/>
      <c r="G34" s="5"/>
      <c r="H34" s="103"/>
      <c r="I34" s="100"/>
      <c r="J34" s="63"/>
      <c r="K34" s="122"/>
      <c r="O34" s="112"/>
    </row>
    <row r="35" spans="1:15">
      <c r="A35" s="63"/>
      <c r="B35" s="63"/>
      <c r="C35" s="112"/>
      <c r="D35" s="126"/>
      <c r="E35" s="124"/>
      <c r="F35" s="119"/>
      <c r="G35" s="5"/>
      <c r="H35" s="103"/>
      <c r="I35" s="100"/>
      <c r="J35" s="63"/>
      <c r="K35" s="122"/>
      <c r="O35" s="112"/>
    </row>
    <row r="36" spans="1:15" ht="18">
      <c r="A36" s="91" t="s">
        <v>293</v>
      </c>
      <c r="B36" s="63"/>
      <c r="C36" s="113"/>
      <c r="D36" s="127"/>
      <c r="E36" s="124"/>
      <c r="F36" s="119"/>
      <c r="G36" s="89"/>
      <c r="H36" s="89"/>
      <c r="I36" s="90"/>
      <c r="J36" s="90"/>
      <c r="K36" s="122"/>
      <c r="O36" s="113"/>
    </row>
    <row r="37" spans="1:15">
      <c r="A37" s="62" t="s">
        <v>294</v>
      </c>
      <c r="B37" s="62" t="s">
        <v>539</v>
      </c>
      <c r="C37" s="112">
        <v>2416.0780800000002</v>
      </c>
      <c r="D37" s="125">
        <v>0.02</v>
      </c>
      <c r="E37" s="124">
        <v>0.04</v>
      </c>
      <c r="F37" s="119">
        <f>C37*(1-G37)</f>
        <v>1449.6468480000001</v>
      </c>
      <c r="G37" s="5">
        <v>0.4</v>
      </c>
      <c r="H37" s="103">
        <f>I37*2.2046</f>
        <v>28.659800000000001</v>
      </c>
      <c r="I37" s="100">
        <v>13</v>
      </c>
      <c r="J37" s="63"/>
      <c r="K37" s="122">
        <f>C37*0.88</f>
        <v>2126.1487104000003</v>
      </c>
      <c r="O37" s="112">
        <v>2368.7040000000002</v>
      </c>
    </row>
    <row r="38" spans="1:15">
      <c r="A38" s="62" t="s">
        <v>295</v>
      </c>
      <c r="B38" s="62" t="s">
        <v>296</v>
      </c>
      <c r="C38" s="112">
        <v>2416.0780800000002</v>
      </c>
      <c r="D38" s="125">
        <v>0.02</v>
      </c>
      <c r="E38" s="124">
        <v>0.04</v>
      </c>
      <c r="F38" s="119">
        <f>C38*(1-G38)</f>
        <v>1449.6468480000001</v>
      </c>
      <c r="G38" s="5">
        <v>0.4</v>
      </c>
      <c r="H38" s="103">
        <f>I38*2.2046</f>
        <v>28.659800000000001</v>
      </c>
      <c r="I38" s="100">
        <v>13</v>
      </c>
      <c r="J38" s="63"/>
      <c r="K38" s="122">
        <f>C38*0.88</f>
        <v>2126.1487104000003</v>
      </c>
      <c r="O38" s="112">
        <v>2368.7040000000002</v>
      </c>
    </row>
    <row r="39" spans="1:15">
      <c r="A39" s="63"/>
      <c r="B39" s="63"/>
      <c r="C39" s="112"/>
      <c r="D39" s="126"/>
      <c r="E39" s="124"/>
      <c r="F39" s="119"/>
      <c r="G39" s="5"/>
      <c r="H39" s="103"/>
      <c r="I39" s="100"/>
      <c r="J39" s="63"/>
      <c r="K39" s="122"/>
      <c r="O39" s="112"/>
    </row>
    <row r="40" spans="1:15">
      <c r="A40" s="63"/>
      <c r="B40" s="63"/>
      <c r="C40" s="112"/>
      <c r="D40" s="126"/>
      <c r="E40" s="124"/>
      <c r="F40" s="119"/>
      <c r="G40" s="5"/>
      <c r="H40" s="103"/>
      <c r="I40" s="100"/>
      <c r="J40" s="63"/>
      <c r="K40" s="122"/>
      <c r="O40" s="112"/>
    </row>
    <row r="41" spans="1:15" ht="18">
      <c r="A41" s="84" t="s">
        <v>168</v>
      </c>
      <c r="B41" s="63"/>
      <c r="C41" s="112"/>
      <c r="D41" s="126"/>
      <c r="E41" s="124"/>
      <c r="F41" s="119"/>
      <c r="G41" s="86"/>
      <c r="H41" s="86"/>
      <c r="I41" s="101"/>
      <c r="J41" s="86"/>
      <c r="K41" s="122"/>
      <c r="O41" s="112"/>
    </row>
    <row r="42" spans="1:15">
      <c r="A42" s="64" t="s">
        <v>169</v>
      </c>
      <c r="B42" s="64" t="s">
        <v>540</v>
      </c>
      <c r="C42" s="112">
        <v>2633.3299200000006</v>
      </c>
      <c r="D42" s="125">
        <v>0.02</v>
      </c>
      <c r="E42" s="124">
        <v>0.04</v>
      </c>
      <c r="F42" s="119">
        <f>C42*(1-G42)</f>
        <v>1579.9979520000004</v>
      </c>
      <c r="G42" s="5">
        <v>0.4</v>
      </c>
      <c r="H42" s="103">
        <v>22</v>
      </c>
      <c r="I42" s="100">
        <v>10</v>
      </c>
      <c r="J42" s="63"/>
      <c r="K42" s="122">
        <f>C42*0.88</f>
        <v>2317.3303296000004</v>
      </c>
      <c r="O42" s="112">
        <v>2581.6960000000004</v>
      </c>
    </row>
    <row r="43" spans="1:15">
      <c r="A43" s="64" t="s">
        <v>170</v>
      </c>
      <c r="B43" s="64" t="s">
        <v>171</v>
      </c>
      <c r="C43" s="112">
        <v>2633.3299200000006</v>
      </c>
      <c r="D43" s="125">
        <v>0.02</v>
      </c>
      <c r="E43" s="124">
        <v>0.04</v>
      </c>
      <c r="F43" s="119">
        <f>C43*(1-G43)</f>
        <v>1579.9979520000004</v>
      </c>
      <c r="G43" s="5">
        <v>0.4</v>
      </c>
      <c r="H43" s="103">
        <v>22</v>
      </c>
      <c r="I43" s="100">
        <v>10</v>
      </c>
      <c r="J43" s="63"/>
      <c r="K43" s="122">
        <f>C43*0.88</f>
        <v>2317.3303296000004</v>
      </c>
      <c r="O43" s="112">
        <v>2581.6960000000004</v>
      </c>
    </row>
    <row r="44" spans="1:15">
      <c r="A44" s="63"/>
      <c r="B44" s="63"/>
      <c r="C44" s="112"/>
      <c r="D44" s="126"/>
      <c r="E44" s="124"/>
      <c r="F44" s="119"/>
      <c r="G44" s="5"/>
      <c r="H44" s="103"/>
      <c r="I44" s="100"/>
      <c r="J44" s="63"/>
      <c r="K44" s="122"/>
      <c r="O44" s="112"/>
    </row>
    <row r="45" spans="1:15">
      <c r="A45" s="63"/>
      <c r="B45" s="63"/>
      <c r="C45" s="112"/>
      <c r="D45" s="126"/>
      <c r="E45" s="124"/>
      <c r="F45" s="119"/>
      <c r="G45" s="5"/>
      <c r="H45" s="103"/>
      <c r="I45" s="100"/>
      <c r="J45" s="63"/>
      <c r="K45" s="122"/>
      <c r="O45" s="112"/>
    </row>
    <row r="46" spans="1:15" ht="18">
      <c r="A46" s="84" t="s">
        <v>114</v>
      </c>
      <c r="B46" s="63"/>
      <c r="C46" s="112"/>
      <c r="D46" s="126"/>
      <c r="E46" s="124"/>
      <c r="F46" s="119"/>
      <c r="G46" s="86"/>
      <c r="H46" s="86"/>
      <c r="I46" s="101"/>
      <c r="J46" s="86"/>
      <c r="K46" s="122"/>
      <c r="O46" s="112"/>
    </row>
    <row r="47" spans="1:15">
      <c r="A47" s="64" t="s">
        <v>115</v>
      </c>
      <c r="B47" s="64" t="s">
        <v>541</v>
      </c>
      <c r="C47" s="112">
        <v>3181.3391999999999</v>
      </c>
      <c r="D47" s="125">
        <v>0.02</v>
      </c>
      <c r="E47" s="124">
        <v>0.04</v>
      </c>
      <c r="F47" s="119">
        <f>C47*(1-G47)</f>
        <v>1908.8035199999999</v>
      </c>
      <c r="G47" s="5">
        <v>0.4</v>
      </c>
      <c r="H47" s="103">
        <v>22</v>
      </c>
      <c r="I47" s="100">
        <v>10</v>
      </c>
      <c r="J47" s="63"/>
      <c r="K47" s="122">
        <f>C47*0.88</f>
        <v>2799.5784960000001</v>
      </c>
      <c r="O47" s="112">
        <v>3118.96</v>
      </c>
    </row>
    <row r="48" spans="1:15">
      <c r="A48" s="64" t="s">
        <v>172</v>
      </c>
      <c r="B48" s="64" t="s">
        <v>173</v>
      </c>
      <c r="C48" s="112">
        <v>3181.3391999999999</v>
      </c>
      <c r="D48" s="125">
        <v>0.02</v>
      </c>
      <c r="E48" s="124">
        <v>0.04</v>
      </c>
      <c r="F48" s="119">
        <f>C48*(1-G48)</f>
        <v>1908.8035199999999</v>
      </c>
      <c r="G48" s="5">
        <v>0.4</v>
      </c>
      <c r="H48" s="103">
        <v>22</v>
      </c>
      <c r="I48" s="100">
        <v>10</v>
      </c>
      <c r="J48" s="63"/>
      <c r="K48" s="122">
        <f>C48*0.88</f>
        <v>2799.5784960000001</v>
      </c>
      <c r="O48" s="112">
        <v>3118.96</v>
      </c>
    </row>
    <row r="49" spans="1:15">
      <c r="A49" s="63" t="s">
        <v>116</v>
      </c>
      <c r="B49" s="63" t="s">
        <v>117</v>
      </c>
      <c r="C49" s="112">
        <v>892.55712000000005</v>
      </c>
      <c r="D49" s="125">
        <v>0.02</v>
      </c>
      <c r="E49" s="124">
        <v>0.04</v>
      </c>
      <c r="F49" s="119">
        <f>C49*(1-G49)</f>
        <v>535.53427199999999</v>
      </c>
      <c r="G49" s="5">
        <v>0.4</v>
      </c>
      <c r="H49" s="103">
        <v>3</v>
      </c>
      <c r="I49" s="100">
        <v>1.5</v>
      </c>
      <c r="J49" s="63"/>
      <c r="K49" s="122">
        <f>C49*0.88</f>
        <v>785.45026560000008</v>
      </c>
      <c r="O49" s="112">
        <v>875.05600000000004</v>
      </c>
    </row>
    <row r="50" spans="1:15">
      <c r="A50" s="63" t="s">
        <v>323</v>
      </c>
      <c r="B50" s="63" t="s">
        <v>322</v>
      </c>
      <c r="C50" s="112">
        <v>870.17423999999994</v>
      </c>
      <c r="D50" s="125">
        <v>0.02</v>
      </c>
      <c r="E50" s="124">
        <v>0.04</v>
      </c>
      <c r="F50" s="119">
        <f>C50*(1-G50)</f>
        <v>522.10454399999992</v>
      </c>
      <c r="G50" s="5">
        <v>0.4</v>
      </c>
      <c r="H50" s="103">
        <v>3</v>
      </c>
      <c r="I50" s="100">
        <v>1.5</v>
      </c>
      <c r="J50" s="63"/>
      <c r="K50" s="122">
        <f>C50*0.88</f>
        <v>765.75333119999993</v>
      </c>
      <c r="O50" s="112">
        <v>853.11199999999997</v>
      </c>
    </row>
    <row r="51" spans="1:15">
      <c r="A51" s="63" t="s">
        <v>506</v>
      </c>
      <c r="B51" s="63" t="s">
        <v>507</v>
      </c>
      <c r="C51" s="112">
        <v>843.33600000000013</v>
      </c>
      <c r="D51" s="125">
        <v>0.02</v>
      </c>
      <c r="E51" s="124">
        <v>0.04</v>
      </c>
      <c r="F51" s="119">
        <f>C51*(1-G51)</f>
        <v>506.00160000000005</v>
      </c>
      <c r="G51" s="5">
        <v>0.4</v>
      </c>
      <c r="H51" s="103">
        <v>3</v>
      </c>
      <c r="I51" s="100">
        <v>1.5</v>
      </c>
      <c r="J51" s="63"/>
      <c r="K51" s="122">
        <f>C51*0.88</f>
        <v>742.13568000000009</v>
      </c>
      <c r="O51" s="112">
        <v>826.80000000000007</v>
      </c>
    </row>
    <row r="52" spans="1:15">
      <c r="A52" s="63"/>
      <c r="B52" s="63"/>
      <c r="C52" s="112"/>
      <c r="D52" s="126"/>
      <c r="E52" s="124"/>
      <c r="F52" s="119"/>
      <c r="G52" s="5"/>
      <c r="H52" s="103"/>
      <c r="I52" s="100"/>
      <c r="J52" s="63"/>
      <c r="K52" s="122"/>
      <c r="O52" s="112"/>
    </row>
    <row r="53" spans="1:15">
      <c r="A53" s="63"/>
      <c r="B53" s="63"/>
      <c r="C53" s="112"/>
      <c r="D53" s="126"/>
      <c r="E53" s="124"/>
      <c r="F53" s="119"/>
      <c r="G53" s="5"/>
      <c r="H53" s="103"/>
      <c r="I53" s="100"/>
      <c r="J53" s="63"/>
      <c r="K53" s="122"/>
      <c r="O53" s="112"/>
    </row>
    <row r="54" spans="1:15" ht="18">
      <c r="A54" s="91" t="s">
        <v>297</v>
      </c>
      <c r="B54" s="63"/>
      <c r="C54" s="113"/>
      <c r="D54" s="127"/>
      <c r="E54" s="124"/>
      <c r="F54" s="119"/>
      <c r="G54" s="5"/>
      <c r="H54" s="89"/>
      <c r="I54" s="90"/>
      <c r="J54" s="90"/>
      <c r="K54" s="122"/>
      <c r="O54" s="113"/>
    </row>
    <row r="55" spans="1:15">
      <c r="A55" s="62" t="s">
        <v>298</v>
      </c>
      <c r="B55" s="62" t="s">
        <v>542</v>
      </c>
      <c r="C55" s="112">
        <v>3340.4592000000002</v>
      </c>
      <c r="D55" s="125">
        <v>0.02</v>
      </c>
      <c r="E55" s="124">
        <v>0.04</v>
      </c>
      <c r="F55" s="119">
        <f>C55*(1-G55)</f>
        <v>2004.2755200000001</v>
      </c>
      <c r="G55" s="5">
        <v>0.4</v>
      </c>
      <c r="H55" s="103">
        <f>I55*2.2046</f>
        <v>28.659800000000001</v>
      </c>
      <c r="I55" s="100">
        <v>13</v>
      </c>
      <c r="J55" s="63"/>
      <c r="K55" s="122">
        <f>C55*0.88</f>
        <v>2939.604096</v>
      </c>
      <c r="O55" s="112">
        <v>3274.96</v>
      </c>
    </row>
    <row r="56" spans="1:15">
      <c r="A56" s="62" t="s">
        <v>299</v>
      </c>
      <c r="B56" s="62" t="s">
        <v>300</v>
      </c>
      <c r="C56" s="112">
        <v>3340.4592000000002</v>
      </c>
      <c r="D56" s="125">
        <v>0.02</v>
      </c>
      <c r="E56" s="124">
        <v>0.04</v>
      </c>
      <c r="F56" s="119">
        <f>C56*(1-G56)</f>
        <v>2004.2755200000001</v>
      </c>
      <c r="G56" s="5">
        <v>0.4</v>
      </c>
      <c r="H56" s="103">
        <f>I56*2.2046</f>
        <v>28.659800000000001</v>
      </c>
      <c r="I56" s="100">
        <v>13</v>
      </c>
      <c r="J56" s="63"/>
      <c r="K56" s="122">
        <f>C56*0.88</f>
        <v>2939.604096</v>
      </c>
      <c r="O56" s="112">
        <v>3274.96</v>
      </c>
    </row>
    <row r="57" spans="1:15">
      <c r="A57" s="63"/>
      <c r="B57" s="63"/>
      <c r="C57" s="112"/>
      <c r="D57" s="126"/>
      <c r="E57" s="124"/>
      <c r="F57" s="119"/>
      <c r="G57" s="5"/>
      <c r="H57" s="103"/>
      <c r="I57" s="100"/>
      <c r="J57" s="63"/>
      <c r="K57" s="122"/>
      <c r="O57" s="112"/>
    </row>
    <row r="58" spans="1:15">
      <c r="A58" s="63"/>
      <c r="B58" s="63"/>
      <c r="C58" s="112"/>
      <c r="D58" s="126"/>
      <c r="E58" s="124"/>
      <c r="F58" s="119"/>
      <c r="G58" s="5"/>
      <c r="H58" s="103"/>
      <c r="I58" s="100"/>
      <c r="J58" s="63"/>
      <c r="K58" s="122"/>
      <c r="O58" s="112"/>
    </row>
    <row r="59" spans="1:15" ht="18">
      <c r="A59" s="84" t="s">
        <v>28</v>
      </c>
      <c r="B59" s="60"/>
      <c r="C59" s="115"/>
      <c r="D59" s="126"/>
      <c r="E59" s="124"/>
      <c r="F59" s="119"/>
      <c r="G59" s="59"/>
      <c r="H59" s="104"/>
      <c r="I59" s="102"/>
      <c r="J59" s="69"/>
      <c r="K59" s="122"/>
      <c r="O59" s="115"/>
    </row>
    <row r="60" spans="1:15">
      <c r="A60" s="64" t="s">
        <v>52</v>
      </c>
      <c r="B60" s="64" t="s">
        <v>543</v>
      </c>
      <c r="C60" s="112">
        <v>3393.4992000000002</v>
      </c>
      <c r="D60" s="125">
        <v>0.02</v>
      </c>
      <c r="E60" s="124">
        <v>0.04</v>
      </c>
      <c r="F60" s="119">
        <f t="shared" ref="F60:F77" si="3">C60*(1-G60)</f>
        <v>2036.0995200000004</v>
      </c>
      <c r="G60" s="5">
        <v>0.39999999999999997</v>
      </c>
      <c r="H60" s="103">
        <f t="shared" ref="H60:H228" si="4">I60*2.2046</f>
        <v>44.091999999999999</v>
      </c>
      <c r="I60" s="100">
        <v>20</v>
      </c>
      <c r="J60" s="63"/>
      <c r="K60" s="122">
        <f t="shared" ref="K60:K77" si="5">C60*0.88</f>
        <v>2986.2792960000002</v>
      </c>
      <c r="O60" s="112">
        <v>3326.96</v>
      </c>
    </row>
    <row r="61" spans="1:15">
      <c r="A61" s="64" t="s">
        <v>174</v>
      </c>
      <c r="B61" s="64" t="s">
        <v>516</v>
      </c>
      <c r="C61" s="112">
        <v>3393.4992000000002</v>
      </c>
      <c r="D61" s="125">
        <v>0.02</v>
      </c>
      <c r="E61" s="124">
        <v>0.04</v>
      </c>
      <c r="F61" s="119">
        <f t="shared" si="3"/>
        <v>2036.0995200000004</v>
      </c>
      <c r="G61" s="5">
        <v>0.39999999999999997</v>
      </c>
      <c r="H61" s="103">
        <f t="shared" si="4"/>
        <v>44.091999999999999</v>
      </c>
      <c r="I61" s="100">
        <v>20</v>
      </c>
      <c r="J61" s="63"/>
      <c r="K61" s="122">
        <f t="shared" si="5"/>
        <v>2986.2792960000002</v>
      </c>
      <c r="O61" s="112">
        <v>3326.96</v>
      </c>
    </row>
    <row r="62" spans="1:15">
      <c r="A62" s="64" t="s">
        <v>53</v>
      </c>
      <c r="B62" s="64" t="s">
        <v>544</v>
      </c>
      <c r="C62" s="112">
        <v>6928.7070000000003</v>
      </c>
      <c r="D62" s="125">
        <v>0.02</v>
      </c>
      <c r="E62" s="124">
        <v>0.03</v>
      </c>
      <c r="F62" s="119">
        <f t="shared" si="3"/>
        <v>4157.2241999999997</v>
      </c>
      <c r="G62" s="5">
        <v>0.40000000000000008</v>
      </c>
      <c r="H62" s="103">
        <f t="shared" si="4"/>
        <v>90.388600000000011</v>
      </c>
      <c r="I62" s="100">
        <v>41</v>
      </c>
      <c r="J62" s="63"/>
      <c r="K62" s="122">
        <f t="shared" si="5"/>
        <v>6097.2621600000002</v>
      </c>
      <c r="O62" s="112">
        <v>6792.85</v>
      </c>
    </row>
    <row r="63" spans="1:15">
      <c r="A63" s="64" t="s">
        <v>175</v>
      </c>
      <c r="B63" s="64" t="s">
        <v>517</v>
      </c>
      <c r="C63" s="112">
        <v>6928.7070000000003</v>
      </c>
      <c r="D63" s="125">
        <v>0.02</v>
      </c>
      <c r="E63" s="124">
        <v>0.03</v>
      </c>
      <c r="F63" s="119">
        <f t="shared" si="3"/>
        <v>4157.2241999999997</v>
      </c>
      <c r="G63" s="5">
        <v>0.40000000000000008</v>
      </c>
      <c r="H63" s="103">
        <f t="shared" si="4"/>
        <v>90.388600000000011</v>
      </c>
      <c r="I63" s="100">
        <v>41</v>
      </c>
      <c r="J63" s="63"/>
      <c r="K63" s="122">
        <f t="shared" si="5"/>
        <v>6097.2621600000002</v>
      </c>
      <c r="O63" s="112">
        <v>6792.85</v>
      </c>
    </row>
    <row r="64" spans="1:15">
      <c r="A64" s="63" t="s">
        <v>330</v>
      </c>
      <c r="B64" s="63" t="s">
        <v>514</v>
      </c>
      <c r="C64" s="112">
        <v>952.28016000000002</v>
      </c>
      <c r="D64" s="125">
        <v>0.02</v>
      </c>
      <c r="E64" s="124">
        <v>0.04</v>
      </c>
      <c r="F64" s="119">
        <f t="shared" si="3"/>
        <v>571.36809600000015</v>
      </c>
      <c r="G64" s="5">
        <v>0.39999999999999997</v>
      </c>
      <c r="H64" s="103">
        <f t="shared" si="4"/>
        <v>3.3069000000000002</v>
      </c>
      <c r="I64" s="100">
        <v>1.5</v>
      </c>
      <c r="J64" s="63"/>
      <c r="K64" s="122">
        <f t="shared" si="5"/>
        <v>838.00654080000004</v>
      </c>
      <c r="O64" s="112">
        <v>933.60800000000006</v>
      </c>
    </row>
    <row r="65" spans="1:15">
      <c r="A65" s="63" t="s">
        <v>334</v>
      </c>
      <c r="B65" s="63" t="s">
        <v>12</v>
      </c>
      <c r="C65" s="112">
        <v>27.52572</v>
      </c>
      <c r="D65" s="125">
        <v>0.02</v>
      </c>
      <c r="E65" s="124">
        <v>0.03</v>
      </c>
      <c r="F65" s="119">
        <f t="shared" si="3"/>
        <v>15.139146</v>
      </c>
      <c r="G65" s="5">
        <v>0.45</v>
      </c>
      <c r="H65" s="103">
        <v>1</v>
      </c>
      <c r="I65" s="100">
        <v>0.5</v>
      </c>
      <c r="J65" s="63"/>
      <c r="K65" s="122">
        <f t="shared" si="5"/>
        <v>24.222633599999998</v>
      </c>
      <c r="O65" s="112">
        <v>26.986000000000001</v>
      </c>
    </row>
    <row r="66" spans="1:15">
      <c r="A66" s="63" t="s">
        <v>335</v>
      </c>
      <c r="B66" s="63" t="s">
        <v>14</v>
      </c>
      <c r="C66" s="112">
        <v>27.52572</v>
      </c>
      <c r="D66" s="125">
        <v>0.02</v>
      </c>
      <c r="E66" s="124">
        <v>0.03</v>
      </c>
      <c r="F66" s="119">
        <f t="shared" si="3"/>
        <v>15.139146</v>
      </c>
      <c r="G66" s="5">
        <v>0.45</v>
      </c>
      <c r="H66" s="103">
        <v>1</v>
      </c>
      <c r="I66" s="100">
        <v>0.5</v>
      </c>
      <c r="J66" s="63"/>
      <c r="K66" s="122">
        <f t="shared" si="5"/>
        <v>24.222633599999998</v>
      </c>
      <c r="O66" s="112">
        <v>26.986000000000001</v>
      </c>
    </row>
    <row r="67" spans="1:15">
      <c r="A67" s="63" t="s">
        <v>331</v>
      </c>
      <c r="B67" s="63" t="s">
        <v>515</v>
      </c>
      <c r="C67" s="112">
        <v>1748.30448</v>
      </c>
      <c r="D67" s="125">
        <v>0.02</v>
      </c>
      <c r="E67" s="124">
        <v>0.04</v>
      </c>
      <c r="F67" s="119">
        <f t="shared" si="3"/>
        <v>1048.9826880000001</v>
      </c>
      <c r="G67" s="5">
        <v>0.39999999999999997</v>
      </c>
      <c r="H67" s="103">
        <f t="shared" si="4"/>
        <v>5.5114999999999998</v>
      </c>
      <c r="I67" s="100">
        <v>2.5</v>
      </c>
      <c r="J67" s="63"/>
      <c r="K67" s="122">
        <f t="shared" si="5"/>
        <v>1538.5079424</v>
      </c>
      <c r="O67" s="112">
        <v>1714.0239999999999</v>
      </c>
    </row>
    <row r="68" spans="1:15">
      <c r="A68" s="63" t="s">
        <v>332</v>
      </c>
      <c r="B68" s="63" t="s">
        <v>505</v>
      </c>
      <c r="C68" s="112">
        <v>1240.3934399999998</v>
      </c>
      <c r="D68" s="125">
        <v>0.02</v>
      </c>
      <c r="E68" s="124">
        <v>0.04</v>
      </c>
      <c r="F68" s="119">
        <f t="shared" si="3"/>
        <v>744.23606399999983</v>
      </c>
      <c r="G68" s="10">
        <v>0.4</v>
      </c>
      <c r="H68" s="103">
        <f t="shared" si="4"/>
        <v>3.9682800000000005</v>
      </c>
      <c r="I68" s="100">
        <v>1.8</v>
      </c>
      <c r="J68" s="63"/>
      <c r="K68" s="122">
        <f t="shared" si="5"/>
        <v>1091.5462271999997</v>
      </c>
      <c r="O68" s="112">
        <v>1216.0719999999999</v>
      </c>
    </row>
    <row r="69" spans="1:15">
      <c r="A69" s="63" t="s">
        <v>333</v>
      </c>
      <c r="B69" s="63" t="s">
        <v>42</v>
      </c>
      <c r="C69" s="112">
        <v>1052.8440000000001</v>
      </c>
      <c r="D69" s="125">
        <v>0.02</v>
      </c>
      <c r="E69" s="124">
        <v>0.04</v>
      </c>
      <c r="F69" s="119">
        <f t="shared" si="3"/>
        <v>631.70640000000003</v>
      </c>
      <c r="G69" s="10">
        <v>0.4</v>
      </c>
      <c r="H69" s="103">
        <f t="shared" si="4"/>
        <v>2.6455199999999999</v>
      </c>
      <c r="I69" s="68">
        <v>1.2</v>
      </c>
      <c r="J69" s="63"/>
      <c r="K69" s="122">
        <f t="shared" si="5"/>
        <v>926.50272000000007</v>
      </c>
      <c r="O69" s="112">
        <v>1032.2</v>
      </c>
    </row>
    <row r="70" spans="1:15">
      <c r="A70" s="63" t="s">
        <v>336</v>
      </c>
      <c r="B70" s="63" t="s">
        <v>483</v>
      </c>
      <c r="C70" s="112">
        <v>1465.9195200000001</v>
      </c>
      <c r="D70" s="125">
        <v>0.02</v>
      </c>
      <c r="E70" s="124">
        <v>0.04</v>
      </c>
      <c r="F70" s="119">
        <f t="shared" si="3"/>
        <v>879.55171200000007</v>
      </c>
      <c r="G70" s="10">
        <v>0.4</v>
      </c>
      <c r="H70" s="103">
        <f t="shared" si="4"/>
        <v>3.5273600000000003</v>
      </c>
      <c r="I70" s="68">
        <v>1.6</v>
      </c>
      <c r="J70" s="63"/>
      <c r="K70" s="122">
        <f t="shared" si="5"/>
        <v>1290.0091776000002</v>
      </c>
      <c r="O70" s="112">
        <v>1437.1760000000002</v>
      </c>
    </row>
    <row r="71" spans="1:15">
      <c r="A71" s="63" t="s">
        <v>337</v>
      </c>
      <c r="B71" s="63" t="s">
        <v>257</v>
      </c>
      <c r="C71" s="112">
        <v>1247.7129600000001</v>
      </c>
      <c r="D71" s="125">
        <v>0.02</v>
      </c>
      <c r="E71" s="124">
        <v>0.04</v>
      </c>
      <c r="F71" s="119">
        <f t="shared" si="3"/>
        <v>748.62777600000004</v>
      </c>
      <c r="G71" s="10">
        <v>0.4</v>
      </c>
      <c r="H71" s="103">
        <f t="shared" si="4"/>
        <v>3.5273600000000003</v>
      </c>
      <c r="I71" s="68">
        <v>1.6</v>
      </c>
      <c r="J71" s="63"/>
      <c r="K71" s="122">
        <f t="shared" si="5"/>
        <v>1097.9874048000001</v>
      </c>
      <c r="O71" s="112">
        <v>1223.248</v>
      </c>
    </row>
    <row r="72" spans="1:15">
      <c r="A72" s="63" t="s">
        <v>338</v>
      </c>
      <c r="B72" s="63" t="s">
        <v>108</v>
      </c>
      <c r="C72" s="112">
        <v>1192.5513600000002</v>
      </c>
      <c r="D72" s="125">
        <v>0.02</v>
      </c>
      <c r="E72" s="124">
        <v>0.04</v>
      </c>
      <c r="F72" s="119">
        <f t="shared" si="3"/>
        <v>715.53081600000007</v>
      </c>
      <c r="G72" s="10">
        <v>0.4</v>
      </c>
      <c r="H72" s="103">
        <f t="shared" si="4"/>
        <v>3.3069000000000002</v>
      </c>
      <c r="I72" s="68">
        <v>1.5</v>
      </c>
      <c r="J72" s="63"/>
      <c r="K72" s="122">
        <f t="shared" si="5"/>
        <v>1049.4451968000001</v>
      </c>
      <c r="O72" s="112">
        <v>1169.1680000000001</v>
      </c>
    </row>
    <row r="73" spans="1:15">
      <c r="A73" s="63" t="s">
        <v>339</v>
      </c>
      <c r="B73" s="63" t="s">
        <v>513</v>
      </c>
      <c r="C73" s="112">
        <v>232.84560000000002</v>
      </c>
      <c r="D73" s="125">
        <v>0.02</v>
      </c>
      <c r="E73" s="124">
        <v>0.04</v>
      </c>
      <c r="F73" s="119">
        <f t="shared" si="3"/>
        <v>139.70735999999999</v>
      </c>
      <c r="G73" s="10">
        <v>0.4</v>
      </c>
      <c r="H73" s="103">
        <v>1</v>
      </c>
      <c r="I73" s="100">
        <v>0.5</v>
      </c>
      <c r="J73" s="63"/>
      <c r="K73" s="122">
        <f t="shared" si="5"/>
        <v>204.90412800000001</v>
      </c>
      <c r="O73" s="112">
        <v>228.28</v>
      </c>
    </row>
    <row r="74" spans="1:15">
      <c r="A74" s="63" t="s">
        <v>340</v>
      </c>
      <c r="B74" s="63" t="s">
        <v>512</v>
      </c>
      <c r="C74" s="112">
        <v>232.84560000000002</v>
      </c>
      <c r="D74" s="125">
        <v>0.02</v>
      </c>
      <c r="E74" s="124">
        <v>0.04</v>
      </c>
      <c r="F74" s="119">
        <f t="shared" si="3"/>
        <v>139.70735999999999</v>
      </c>
      <c r="G74" s="10">
        <v>0.4</v>
      </c>
      <c r="H74" s="103">
        <v>1</v>
      </c>
      <c r="I74" s="100">
        <v>0.5</v>
      </c>
      <c r="J74" s="63"/>
      <c r="K74" s="122">
        <f t="shared" si="5"/>
        <v>204.90412800000001</v>
      </c>
      <c r="O74" s="112">
        <v>228.28</v>
      </c>
    </row>
    <row r="75" spans="1:15">
      <c r="A75" s="63" t="s">
        <v>341</v>
      </c>
      <c r="B75" s="63" t="s">
        <v>90</v>
      </c>
      <c r="C75" s="112">
        <v>1266.0648000000001</v>
      </c>
      <c r="D75" s="125">
        <v>0.02</v>
      </c>
      <c r="E75" s="124">
        <v>0.04</v>
      </c>
      <c r="F75" s="119">
        <f t="shared" si="3"/>
        <v>759.63888000000009</v>
      </c>
      <c r="G75" s="10">
        <v>0.4</v>
      </c>
      <c r="H75" s="103">
        <f t="shared" si="4"/>
        <v>2.2046000000000001</v>
      </c>
      <c r="I75" s="68">
        <v>1</v>
      </c>
      <c r="J75" s="63"/>
      <c r="K75" s="122">
        <f t="shared" si="5"/>
        <v>1114.1370240000001</v>
      </c>
      <c r="O75" s="112">
        <v>1241.24</v>
      </c>
    </row>
    <row r="76" spans="1:15">
      <c r="A76" s="63" t="s">
        <v>342</v>
      </c>
      <c r="B76" s="63" t="s">
        <v>557</v>
      </c>
      <c r="C76" s="112">
        <v>926.60880000000009</v>
      </c>
      <c r="D76" s="125">
        <v>0.02</v>
      </c>
      <c r="E76" s="124">
        <v>0.04</v>
      </c>
      <c r="F76" s="119">
        <f t="shared" si="3"/>
        <v>555.96528000000001</v>
      </c>
      <c r="G76" s="10">
        <v>0.4</v>
      </c>
      <c r="H76" s="103">
        <f t="shared" si="4"/>
        <v>2.2046000000000001</v>
      </c>
      <c r="I76" s="68">
        <v>1</v>
      </c>
      <c r="J76" s="63"/>
      <c r="K76" s="122">
        <f t="shared" si="5"/>
        <v>815.41574400000013</v>
      </c>
      <c r="O76" s="112">
        <v>908.44</v>
      </c>
    </row>
    <row r="77" spans="1:15">
      <c r="A77" s="63" t="s">
        <v>555</v>
      </c>
      <c r="B77" s="63" t="s">
        <v>556</v>
      </c>
      <c r="C77" s="112">
        <v>985.32</v>
      </c>
      <c r="D77" s="125">
        <v>0.02</v>
      </c>
      <c r="E77" s="124">
        <v>0.04</v>
      </c>
      <c r="F77" s="119">
        <f t="shared" si="3"/>
        <v>591.19200000000001</v>
      </c>
      <c r="G77" s="10">
        <v>0.4</v>
      </c>
      <c r="H77" s="103">
        <v>4</v>
      </c>
      <c r="I77" s="68">
        <v>2</v>
      </c>
      <c r="J77" s="63"/>
      <c r="K77" s="122">
        <f t="shared" si="5"/>
        <v>867.08160000000009</v>
      </c>
      <c r="O77" s="112">
        <v>966</v>
      </c>
    </row>
    <row r="78" spans="1:15">
      <c r="A78" s="8"/>
      <c r="B78" s="8"/>
      <c r="C78" s="112"/>
      <c r="D78" s="126"/>
      <c r="E78" s="124"/>
      <c r="F78" s="119"/>
      <c r="G78" s="10"/>
      <c r="H78" s="103"/>
      <c r="I78" s="68"/>
      <c r="J78" s="63"/>
      <c r="K78" s="122"/>
      <c r="O78" s="112"/>
    </row>
    <row r="79" spans="1:15">
      <c r="A79" s="8"/>
      <c r="B79" s="8"/>
      <c r="C79" s="112"/>
      <c r="D79" s="126"/>
      <c r="E79" s="124"/>
      <c r="F79" s="119"/>
      <c r="G79" s="10"/>
      <c r="H79" s="103"/>
      <c r="I79" s="68"/>
      <c r="J79" s="63"/>
      <c r="K79" s="122"/>
      <c r="O79" s="112"/>
    </row>
    <row r="80" spans="1:15" ht="18">
      <c r="A80" s="12" t="s">
        <v>260</v>
      </c>
      <c r="B80" s="8"/>
      <c r="C80" s="112"/>
      <c r="D80" s="126"/>
      <c r="E80" s="124"/>
      <c r="F80" s="119"/>
      <c r="G80" s="10"/>
      <c r="H80" s="103"/>
      <c r="I80" s="68"/>
      <c r="J80" s="63"/>
      <c r="K80" s="122"/>
      <c r="O80" s="112"/>
    </row>
    <row r="81" spans="1:15">
      <c r="A81" s="64" t="s">
        <v>261</v>
      </c>
      <c r="B81" s="64" t="s">
        <v>262</v>
      </c>
      <c r="C81" s="112">
        <v>3847.7337600000001</v>
      </c>
      <c r="D81" s="125">
        <v>0.02</v>
      </c>
      <c r="E81" s="124">
        <v>0.04</v>
      </c>
      <c r="F81" s="119">
        <f t="shared" ref="F81:F103" si="6">C81*(1-G81)</f>
        <v>2308.6402560000001</v>
      </c>
      <c r="G81" s="10">
        <v>0.4</v>
      </c>
      <c r="H81" s="103">
        <v>45</v>
      </c>
      <c r="I81" s="68">
        <v>20</v>
      </c>
      <c r="J81" s="63"/>
      <c r="K81" s="122">
        <f t="shared" ref="K81:K103" si="7">C81*0.88</f>
        <v>3386.0057087999999</v>
      </c>
      <c r="O81" s="112">
        <v>3772.288</v>
      </c>
    </row>
    <row r="82" spans="1:15">
      <c r="A82" s="64" t="s">
        <v>263</v>
      </c>
      <c r="B82" s="64" t="s">
        <v>264</v>
      </c>
      <c r="C82" s="112">
        <v>3847.7337600000001</v>
      </c>
      <c r="D82" s="125">
        <v>0.02</v>
      </c>
      <c r="E82" s="124">
        <v>0.04</v>
      </c>
      <c r="F82" s="119">
        <f t="shared" si="6"/>
        <v>2308.6402560000001</v>
      </c>
      <c r="G82" s="10">
        <v>0.4</v>
      </c>
      <c r="H82" s="103">
        <v>45</v>
      </c>
      <c r="I82" s="68">
        <v>20</v>
      </c>
      <c r="J82" s="63"/>
      <c r="K82" s="122">
        <f t="shared" si="7"/>
        <v>3386.0057087999999</v>
      </c>
      <c r="O82" s="112">
        <v>3772.288</v>
      </c>
    </row>
    <row r="83" spans="1:15">
      <c r="A83" s="63" t="s">
        <v>265</v>
      </c>
      <c r="B83" s="63" t="s">
        <v>266</v>
      </c>
      <c r="C83" s="112">
        <v>1581.1224000000002</v>
      </c>
      <c r="D83" s="125">
        <v>0.02</v>
      </c>
      <c r="E83" s="124">
        <v>0.04</v>
      </c>
      <c r="F83" s="119">
        <f t="shared" si="6"/>
        <v>948.67344000000003</v>
      </c>
      <c r="G83" s="10">
        <v>0.4</v>
      </c>
      <c r="H83" s="103">
        <f>I83*2.2046</f>
        <v>1.1023000000000001</v>
      </c>
      <c r="I83" s="68">
        <v>0.5</v>
      </c>
      <c r="J83" s="63"/>
      <c r="K83" s="122">
        <f t="shared" si="7"/>
        <v>1391.3877120000002</v>
      </c>
      <c r="O83" s="112">
        <v>1550.1200000000001</v>
      </c>
    </row>
    <row r="84" spans="1:15">
      <c r="A84" s="63" t="s">
        <v>343</v>
      </c>
      <c r="B84" s="63" t="s">
        <v>214</v>
      </c>
      <c r="C84" s="112">
        <v>183.83664000000005</v>
      </c>
      <c r="D84" s="125">
        <v>0.02</v>
      </c>
      <c r="E84" s="124">
        <v>0.04</v>
      </c>
      <c r="F84" s="119">
        <f t="shared" si="6"/>
        <v>110.301984</v>
      </c>
      <c r="G84" s="5">
        <v>0.40000000000000008</v>
      </c>
      <c r="H84" s="103">
        <f>I84*2.2046</f>
        <v>1.1023000000000001</v>
      </c>
      <c r="I84" s="68">
        <v>0.5</v>
      </c>
      <c r="J84" s="63"/>
      <c r="K84" s="122">
        <f t="shared" si="7"/>
        <v>161.77624320000004</v>
      </c>
      <c r="O84" s="112">
        <v>180.23200000000003</v>
      </c>
    </row>
    <row r="85" spans="1:15">
      <c r="A85" s="63" t="s">
        <v>267</v>
      </c>
      <c r="B85" s="63" t="s">
        <v>268</v>
      </c>
      <c r="C85" s="112">
        <v>1458.4939200000001</v>
      </c>
      <c r="D85" s="125">
        <v>0.02</v>
      </c>
      <c r="E85" s="124">
        <v>0.04</v>
      </c>
      <c r="F85" s="119">
        <f t="shared" si="6"/>
        <v>875.09635200000002</v>
      </c>
      <c r="G85" s="10">
        <v>0.4</v>
      </c>
      <c r="H85" s="103">
        <f>I85*2.2046</f>
        <v>1.1023000000000001</v>
      </c>
      <c r="I85" s="68">
        <v>0.5</v>
      </c>
      <c r="J85" s="63"/>
      <c r="K85" s="122">
        <f t="shared" si="7"/>
        <v>1283.4746496</v>
      </c>
      <c r="O85" s="112">
        <v>1429.8960000000002</v>
      </c>
    </row>
    <row r="86" spans="1:15">
      <c r="A86" s="63" t="s">
        <v>269</v>
      </c>
      <c r="B86" s="63" t="s">
        <v>270</v>
      </c>
      <c r="C86" s="112">
        <v>1458.4939200000001</v>
      </c>
      <c r="D86" s="125">
        <v>0.02</v>
      </c>
      <c r="E86" s="124">
        <v>0.04</v>
      </c>
      <c r="F86" s="119">
        <f t="shared" si="6"/>
        <v>875.09635200000002</v>
      </c>
      <c r="G86" s="10">
        <v>0.4</v>
      </c>
      <c r="H86" s="103">
        <f t="shared" ref="H86" si="8">I86*2.2046</f>
        <v>7.0547200000000005</v>
      </c>
      <c r="I86" s="100">
        <v>3.2</v>
      </c>
      <c r="J86" s="63"/>
      <c r="K86" s="122">
        <f t="shared" si="7"/>
        <v>1283.4746496</v>
      </c>
      <c r="O86" s="112">
        <v>1429.8960000000002</v>
      </c>
    </row>
    <row r="87" spans="1:15">
      <c r="A87" s="63" t="s">
        <v>344</v>
      </c>
      <c r="B87" s="63" t="s">
        <v>288</v>
      </c>
      <c r="C87" s="112">
        <v>120.08256000000002</v>
      </c>
      <c r="D87" s="125">
        <v>0.02</v>
      </c>
      <c r="E87" s="124">
        <v>0.04</v>
      </c>
      <c r="F87" s="119">
        <f t="shared" si="6"/>
        <v>72.049536000000003</v>
      </c>
      <c r="G87" s="10">
        <v>0.4</v>
      </c>
      <c r="H87" s="103">
        <f>I87*2.2046</f>
        <v>1.1023000000000001</v>
      </c>
      <c r="I87" s="68">
        <v>0.5</v>
      </c>
      <c r="J87" s="63"/>
      <c r="K87" s="122">
        <f t="shared" si="7"/>
        <v>105.67265280000001</v>
      </c>
      <c r="O87" s="112">
        <v>117.72800000000001</v>
      </c>
    </row>
    <row r="88" spans="1:15">
      <c r="A88" s="63" t="s">
        <v>345</v>
      </c>
      <c r="B88" s="63" t="s">
        <v>308</v>
      </c>
      <c r="C88" s="112">
        <v>120.08256000000002</v>
      </c>
      <c r="D88" s="125">
        <v>0.02</v>
      </c>
      <c r="E88" s="124">
        <v>0.04</v>
      </c>
      <c r="F88" s="119">
        <f t="shared" si="6"/>
        <v>72.049536000000003</v>
      </c>
      <c r="G88" s="10">
        <v>0.4</v>
      </c>
      <c r="H88" s="103">
        <f>I88*2.2046</f>
        <v>1.1023000000000001</v>
      </c>
      <c r="I88" s="68">
        <v>0.5</v>
      </c>
      <c r="J88" s="63"/>
      <c r="K88" s="122">
        <f t="shared" si="7"/>
        <v>105.67265280000001</v>
      </c>
      <c r="O88" s="112">
        <v>117.72800000000001</v>
      </c>
    </row>
    <row r="89" spans="1:15">
      <c r="A89" s="63" t="s">
        <v>271</v>
      </c>
      <c r="B89" s="63" t="s">
        <v>272</v>
      </c>
      <c r="C89" s="112">
        <v>2071.31808</v>
      </c>
      <c r="D89" s="125">
        <v>0.02</v>
      </c>
      <c r="E89" s="124">
        <v>0.04</v>
      </c>
      <c r="F89" s="119">
        <f t="shared" si="6"/>
        <v>1242.7908479999999</v>
      </c>
      <c r="G89" s="10">
        <v>0.4</v>
      </c>
      <c r="H89" s="103">
        <f t="shared" ref="H89:H91" si="9">I89*2.2046</f>
        <v>7.0547200000000005</v>
      </c>
      <c r="I89" s="100">
        <v>3.2</v>
      </c>
      <c r="J89" s="63"/>
      <c r="K89" s="122">
        <f t="shared" si="7"/>
        <v>1822.7599104000001</v>
      </c>
      <c r="O89" s="112">
        <v>2030.704</v>
      </c>
    </row>
    <row r="90" spans="1:15">
      <c r="A90" s="63" t="s">
        <v>273</v>
      </c>
      <c r="B90" s="63" t="s">
        <v>274</v>
      </c>
      <c r="C90" s="112">
        <v>968.29824000000008</v>
      </c>
      <c r="D90" s="125">
        <v>0.02</v>
      </c>
      <c r="E90" s="124">
        <v>0.04</v>
      </c>
      <c r="F90" s="119">
        <f t="shared" si="6"/>
        <v>580.97894400000007</v>
      </c>
      <c r="G90" s="10">
        <v>0.4</v>
      </c>
      <c r="H90" s="103">
        <f t="shared" si="9"/>
        <v>7.0547200000000005</v>
      </c>
      <c r="I90" s="100">
        <v>3.2</v>
      </c>
      <c r="J90" s="63"/>
      <c r="K90" s="122">
        <f t="shared" si="7"/>
        <v>852.10245120000002</v>
      </c>
      <c r="O90" s="112">
        <v>949.31200000000001</v>
      </c>
    </row>
    <row r="91" spans="1:15">
      <c r="A91" s="63" t="s">
        <v>275</v>
      </c>
      <c r="B91" s="63" t="s">
        <v>276</v>
      </c>
      <c r="C91" s="112">
        <v>968.29824000000008</v>
      </c>
      <c r="D91" s="125">
        <v>0.02</v>
      </c>
      <c r="E91" s="124">
        <v>0.04</v>
      </c>
      <c r="F91" s="119">
        <f t="shared" si="6"/>
        <v>580.97894400000007</v>
      </c>
      <c r="G91" s="10">
        <v>0.4</v>
      </c>
      <c r="H91" s="103">
        <f t="shared" si="9"/>
        <v>7.0547200000000005</v>
      </c>
      <c r="I91" s="100">
        <v>3.2</v>
      </c>
      <c r="J91" s="63"/>
      <c r="K91" s="122">
        <f t="shared" si="7"/>
        <v>852.10245120000002</v>
      </c>
      <c r="O91" s="112">
        <v>949.31200000000001</v>
      </c>
    </row>
    <row r="92" spans="1:15">
      <c r="A92" s="63" t="s">
        <v>15</v>
      </c>
      <c r="B92" s="63" t="s">
        <v>289</v>
      </c>
      <c r="C92" s="112">
        <v>124.39104000000002</v>
      </c>
      <c r="D92" s="125">
        <v>0.02</v>
      </c>
      <c r="E92" s="124">
        <v>0.03</v>
      </c>
      <c r="F92" s="119">
        <f t="shared" si="6"/>
        <v>68.415072000000009</v>
      </c>
      <c r="G92" s="5">
        <v>0.45</v>
      </c>
      <c r="H92" s="103">
        <f>I92*2.2046</f>
        <v>1.1023000000000001</v>
      </c>
      <c r="I92" s="68">
        <v>0.5</v>
      </c>
      <c r="J92" s="63"/>
      <c r="K92" s="122">
        <f t="shared" si="7"/>
        <v>109.46411520000002</v>
      </c>
      <c r="O92" s="112">
        <v>121.95200000000001</v>
      </c>
    </row>
    <row r="93" spans="1:15">
      <c r="A93" s="63" t="s">
        <v>326</v>
      </c>
      <c r="B93" s="63" t="s">
        <v>290</v>
      </c>
      <c r="C93" s="112">
        <v>63.75</v>
      </c>
      <c r="D93" s="125">
        <v>0.02</v>
      </c>
      <c r="E93" s="124">
        <v>0.03</v>
      </c>
      <c r="F93" s="119">
        <f t="shared" si="6"/>
        <v>35.0625</v>
      </c>
      <c r="G93" s="5">
        <v>0.45</v>
      </c>
      <c r="H93" s="103">
        <f>I93*2.2046</f>
        <v>1.1023000000000001</v>
      </c>
      <c r="I93" s="68">
        <v>0.5</v>
      </c>
      <c r="J93" s="63"/>
      <c r="K93" s="122">
        <f t="shared" si="7"/>
        <v>56.1</v>
      </c>
      <c r="O93" s="112">
        <v>62.5</v>
      </c>
    </row>
    <row r="94" spans="1:15">
      <c r="A94" s="63" t="s">
        <v>277</v>
      </c>
      <c r="B94" s="63" t="s">
        <v>278</v>
      </c>
      <c r="C94" s="112">
        <v>845.66976000000011</v>
      </c>
      <c r="D94" s="125">
        <v>0.02</v>
      </c>
      <c r="E94" s="124">
        <v>0.04</v>
      </c>
      <c r="F94" s="119">
        <f t="shared" si="6"/>
        <v>507.40185600000007</v>
      </c>
      <c r="G94" s="10">
        <v>0.4</v>
      </c>
      <c r="H94" s="103">
        <f t="shared" ref="H94" si="10">I94*2.2046</f>
        <v>7.0547200000000005</v>
      </c>
      <c r="I94" s="100">
        <v>3.2</v>
      </c>
      <c r="J94" s="63"/>
      <c r="K94" s="122">
        <f t="shared" si="7"/>
        <v>744.18938880000007</v>
      </c>
      <c r="O94" s="112">
        <v>829.08800000000008</v>
      </c>
    </row>
    <row r="95" spans="1:15">
      <c r="A95" s="23" t="s">
        <v>250</v>
      </c>
      <c r="B95" s="61" t="s">
        <v>251</v>
      </c>
      <c r="C95" s="114">
        <v>169.983</v>
      </c>
      <c r="D95" s="125">
        <v>0.02</v>
      </c>
      <c r="E95" s="124">
        <v>0.04</v>
      </c>
      <c r="F95" s="119">
        <f t="shared" si="6"/>
        <v>101.98979999999997</v>
      </c>
      <c r="G95" s="5">
        <v>0.40000000000000008</v>
      </c>
      <c r="H95" s="103">
        <f>I95*2.2046</f>
        <v>1.1023000000000001</v>
      </c>
      <c r="I95" s="68">
        <v>0.5</v>
      </c>
      <c r="J95" s="63"/>
      <c r="K95" s="122">
        <f t="shared" si="7"/>
        <v>149.58503999999999</v>
      </c>
      <c r="O95" s="114">
        <v>166.65</v>
      </c>
    </row>
    <row r="96" spans="1:15">
      <c r="A96" s="23" t="s">
        <v>252</v>
      </c>
      <c r="B96" s="61" t="s">
        <v>253</v>
      </c>
      <c r="C96" s="114">
        <v>169.983</v>
      </c>
      <c r="D96" s="125">
        <v>0.02</v>
      </c>
      <c r="E96" s="124">
        <v>0.04</v>
      </c>
      <c r="F96" s="119">
        <f t="shared" si="6"/>
        <v>101.98979999999997</v>
      </c>
      <c r="G96" s="5">
        <v>0.40000000000000008</v>
      </c>
      <c r="H96" s="103">
        <f>I96*2.2046</f>
        <v>1.1023000000000001</v>
      </c>
      <c r="I96" s="68">
        <v>0.5</v>
      </c>
      <c r="J96" s="63"/>
      <c r="K96" s="122">
        <f t="shared" si="7"/>
        <v>149.58503999999999</v>
      </c>
      <c r="O96" s="114">
        <v>166.65</v>
      </c>
    </row>
    <row r="97" spans="1:15">
      <c r="A97" s="23" t="s">
        <v>305</v>
      </c>
      <c r="B97" s="61" t="s">
        <v>306</v>
      </c>
      <c r="C97" s="114">
        <v>169.983</v>
      </c>
      <c r="D97" s="125">
        <v>0.02</v>
      </c>
      <c r="E97" s="124">
        <v>0.04</v>
      </c>
      <c r="F97" s="119">
        <f t="shared" si="6"/>
        <v>101.98979999999997</v>
      </c>
      <c r="G97" s="5">
        <v>0.40000000000000008</v>
      </c>
      <c r="H97" s="6">
        <v>1</v>
      </c>
      <c r="I97" s="68">
        <v>0.5</v>
      </c>
      <c r="J97" s="68"/>
      <c r="K97" s="122">
        <f t="shared" si="7"/>
        <v>149.58503999999999</v>
      </c>
      <c r="O97" s="114">
        <v>166.65</v>
      </c>
    </row>
    <row r="98" spans="1:15">
      <c r="A98" s="63" t="s">
        <v>279</v>
      </c>
      <c r="B98" s="63" t="s">
        <v>280</v>
      </c>
      <c r="C98" s="112">
        <v>796.66080000000011</v>
      </c>
      <c r="D98" s="125">
        <v>0.02</v>
      </c>
      <c r="E98" s="124">
        <v>0.04</v>
      </c>
      <c r="F98" s="119">
        <f t="shared" si="6"/>
        <v>477.99648000000002</v>
      </c>
      <c r="G98" s="10">
        <v>0.4</v>
      </c>
      <c r="H98" s="103">
        <f t="shared" ref="H98" si="11">I98*2.2046</f>
        <v>4.8501200000000004</v>
      </c>
      <c r="I98" s="100">
        <v>2.2000000000000002</v>
      </c>
      <c r="J98" s="63"/>
      <c r="K98" s="122">
        <f t="shared" si="7"/>
        <v>701.06150400000013</v>
      </c>
      <c r="O98" s="112">
        <v>781.04000000000008</v>
      </c>
    </row>
    <row r="99" spans="1:15">
      <c r="A99" s="63" t="s">
        <v>334</v>
      </c>
      <c r="B99" s="63" t="s">
        <v>12</v>
      </c>
      <c r="C99" s="112">
        <v>27.52572</v>
      </c>
      <c r="D99" s="125">
        <v>0.02</v>
      </c>
      <c r="E99" s="124">
        <v>0.03</v>
      </c>
      <c r="F99" s="119">
        <f t="shared" si="6"/>
        <v>15.139146</v>
      </c>
      <c r="G99" s="5">
        <v>0.45</v>
      </c>
      <c r="H99" s="103">
        <v>1</v>
      </c>
      <c r="I99" s="100">
        <v>0.5</v>
      </c>
      <c r="J99" s="63"/>
      <c r="K99" s="122">
        <f t="shared" si="7"/>
        <v>24.222633599999998</v>
      </c>
      <c r="O99" s="112">
        <v>26.986000000000001</v>
      </c>
    </row>
    <row r="100" spans="1:15">
      <c r="A100" s="63" t="s">
        <v>335</v>
      </c>
      <c r="B100" s="63" t="s">
        <v>14</v>
      </c>
      <c r="C100" s="112">
        <v>27.52572</v>
      </c>
      <c r="D100" s="125">
        <v>0.02</v>
      </c>
      <c r="E100" s="124">
        <v>0.03</v>
      </c>
      <c r="F100" s="119">
        <f t="shared" si="6"/>
        <v>15.139146</v>
      </c>
      <c r="G100" s="5">
        <v>0.45</v>
      </c>
      <c r="H100" s="103">
        <v>1</v>
      </c>
      <c r="I100" s="100">
        <v>0.5</v>
      </c>
      <c r="J100" s="63"/>
      <c r="K100" s="122">
        <f t="shared" si="7"/>
        <v>24.222633599999998</v>
      </c>
      <c r="O100" s="112">
        <v>26.986000000000001</v>
      </c>
    </row>
    <row r="101" spans="1:15">
      <c r="A101" s="63" t="s">
        <v>281</v>
      </c>
      <c r="B101" s="63" t="s">
        <v>282</v>
      </c>
      <c r="C101" s="112">
        <v>979.3305600000001</v>
      </c>
      <c r="D101" s="125">
        <v>0.02</v>
      </c>
      <c r="E101" s="124">
        <v>0.04</v>
      </c>
      <c r="F101" s="119">
        <f t="shared" si="6"/>
        <v>587.59833600000002</v>
      </c>
      <c r="G101" s="10">
        <v>0.4</v>
      </c>
      <c r="H101" s="103">
        <f t="shared" ref="H101:H103" si="12">I101*2.2046</f>
        <v>4.8501200000000004</v>
      </c>
      <c r="I101" s="100">
        <v>2.2000000000000002</v>
      </c>
      <c r="J101" s="63"/>
      <c r="K101" s="122">
        <f t="shared" si="7"/>
        <v>861.81089280000015</v>
      </c>
      <c r="O101" s="112">
        <v>960.12800000000004</v>
      </c>
    </row>
    <row r="102" spans="1:15">
      <c r="A102" s="63" t="s">
        <v>283</v>
      </c>
      <c r="B102" s="63" t="s">
        <v>284</v>
      </c>
      <c r="C102" s="112">
        <v>723.14736000000005</v>
      </c>
      <c r="D102" s="125">
        <v>0.02</v>
      </c>
      <c r="E102" s="124">
        <v>0.04</v>
      </c>
      <c r="F102" s="119">
        <f t="shared" si="6"/>
        <v>433.88841600000001</v>
      </c>
      <c r="G102" s="10">
        <v>0.4</v>
      </c>
      <c r="H102" s="103">
        <f t="shared" si="12"/>
        <v>0.88184000000000007</v>
      </c>
      <c r="I102" s="100">
        <v>0.4</v>
      </c>
      <c r="J102" s="63"/>
      <c r="K102" s="122">
        <f t="shared" si="7"/>
        <v>636.36967680000009</v>
      </c>
      <c r="O102" s="112">
        <v>708.96800000000007</v>
      </c>
    </row>
    <row r="103" spans="1:15">
      <c r="A103" s="63" t="s">
        <v>285</v>
      </c>
      <c r="B103" s="63" t="s">
        <v>286</v>
      </c>
      <c r="C103" s="112">
        <v>937.64112</v>
      </c>
      <c r="D103" s="125">
        <v>0.02</v>
      </c>
      <c r="E103" s="124">
        <v>0.04</v>
      </c>
      <c r="F103" s="119">
        <f t="shared" si="6"/>
        <v>562.58467199999996</v>
      </c>
      <c r="G103" s="10">
        <v>0.4</v>
      </c>
      <c r="H103" s="103">
        <f t="shared" si="12"/>
        <v>4.8501200000000004</v>
      </c>
      <c r="I103" s="100">
        <v>2.2000000000000002</v>
      </c>
      <c r="J103" s="63"/>
      <c r="K103" s="122">
        <f t="shared" si="7"/>
        <v>825.12418560000003</v>
      </c>
      <c r="O103" s="112">
        <v>919.25599999999997</v>
      </c>
    </row>
    <row r="104" spans="1:15">
      <c r="A104" s="8"/>
      <c r="B104" s="8"/>
      <c r="C104" s="112"/>
      <c r="D104" s="126"/>
      <c r="E104" s="124"/>
      <c r="F104" s="119"/>
      <c r="G104" s="10"/>
      <c r="H104" s="103"/>
      <c r="I104" s="68"/>
      <c r="J104" s="63"/>
      <c r="K104" s="122"/>
      <c r="O104" s="112"/>
    </row>
    <row r="105" spans="1:15">
      <c r="A105" s="8"/>
      <c r="B105" s="8"/>
      <c r="C105" s="112"/>
      <c r="D105" s="126"/>
      <c r="E105" s="124"/>
      <c r="F105" s="119"/>
      <c r="G105" s="10"/>
      <c r="H105" s="103"/>
      <c r="I105" s="68"/>
      <c r="J105" s="63"/>
      <c r="K105" s="122"/>
      <c r="O105" s="112"/>
    </row>
    <row r="106" spans="1:15" ht="18">
      <c r="A106" s="12" t="s">
        <v>456</v>
      </c>
      <c r="B106" s="8"/>
      <c r="C106" s="112"/>
      <c r="D106" s="126"/>
      <c r="E106" s="124"/>
      <c r="F106" s="119"/>
      <c r="G106" s="10"/>
      <c r="H106" s="103"/>
      <c r="I106" s="68"/>
      <c r="J106" s="63"/>
      <c r="K106" s="122"/>
      <c r="O106" s="112"/>
    </row>
    <row r="107" spans="1:15">
      <c r="A107" s="64" t="s">
        <v>457</v>
      </c>
      <c r="B107" s="64" t="s">
        <v>458</v>
      </c>
      <c r="C107" s="112">
        <v>4508.3999999999996</v>
      </c>
      <c r="D107" s="125">
        <v>0.02</v>
      </c>
      <c r="E107" s="124">
        <v>0.04</v>
      </c>
      <c r="F107" s="119">
        <f t="shared" ref="F107:F138" si="13">C107*(1-G107)</f>
        <v>2705.04</v>
      </c>
      <c r="G107" s="5">
        <v>0.39999999999999997</v>
      </c>
      <c r="H107" s="103">
        <f t="shared" si="4"/>
        <v>71.649500000000003</v>
      </c>
      <c r="I107" s="68">
        <v>32.5</v>
      </c>
      <c r="J107" s="63"/>
      <c r="K107" s="122">
        <f t="shared" ref="K107:K138" si="14">C107*0.88</f>
        <v>3967.3919999999998</v>
      </c>
      <c r="O107" s="112">
        <v>4420</v>
      </c>
    </row>
    <row r="108" spans="1:15">
      <c r="A108" s="64" t="s">
        <v>459</v>
      </c>
      <c r="B108" s="64" t="s">
        <v>460</v>
      </c>
      <c r="C108" s="112">
        <v>4508.3999999999996</v>
      </c>
      <c r="D108" s="125">
        <v>0.02</v>
      </c>
      <c r="E108" s="124">
        <v>0.04</v>
      </c>
      <c r="F108" s="119">
        <f t="shared" si="13"/>
        <v>2705.04</v>
      </c>
      <c r="G108" s="5">
        <v>0.39999999999999997</v>
      </c>
      <c r="H108" s="103">
        <f t="shared" si="4"/>
        <v>71.649500000000003</v>
      </c>
      <c r="I108" s="68">
        <v>32.5</v>
      </c>
      <c r="J108" s="63"/>
      <c r="K108" s="122">
        <f t="shared" si="14"/>
        <v>3967.3919999999998</v>
      </c>
      <c r="O108" s="112">
        <v>4420</v>
      </c>
    </row>
    <row r="109" spans="1:15">
      <c r="A109" s="77" t="s">
        <v>419</v>
      </c>
      <c r="B109" s="77" t="s">
        <v>420</v>
      </c>
      <c r="C109" s="116">
        <v>2970.2400000000002</v>
      </c>
      <c r="D109" s="125">
        <v>0.02</v>
      </c>
      <c r="E109" s="124">
        <v>0.04</v>
      </c>
      <c r="F109" s="120">
        <f t="shared" si="13"/>
        <v>1782.144</v>
      </c>
      <c r="G109" s="71">
        <v>0.4</v>
      </c>
      <c r="H109" s="103">
        <f t="shared" si="4"/>
        <v>7.0547200000000005</v>
      </c>
      <c r="I109" s="100">
        <v>3.2</v>
      </c>
      <c r="J109" s="63"/>
      <c r="K109" s="122">
        <f t="shared" si="14"/>
        <v>2613.8112000000001</v>
      </c>
      <c r="O109" s="116">
        <v>2912</v>
      </c>
    </row>
    <row r="110" spans="1:15">
      <c r="A110" s="63" t="s">
        <v>421</v>
      </c>
      <c r="B110" s="63" t="s">
        <v>422</v>
      </c>
      <c r="C110" s="112">
        <v>1819.2720000000002</v>
      </c>
      <c r="D110" s="125">
        <v>0.02</v>
      </c>
      <c r="E110" s="124">
        <v>0.04</v>
      </c>
      <c r="F110" s="119">
        <f t="shared" si="13"/>
        <v>1091.5632000000001</v>
      </c>
      <c r="G110" s="5">
        <v>0.4</v>
      </c>
      <c r="H110" s="103">
        <f t="shared" si="4"/>
        <v>4.8501200000000004</v>
      </c>
      <c r="I110" s="100">
        <v>2.2000000000000002</v>
      </c>
      <c r="J110" s="63"/>
      <c r="K110" s="122">
        <f t="shared" si="14"/>
        <v>1600.9593600000001</v>
      </c>
      <c r="O110" s="112">
        <v>1783.6000000000001</v>
      </c>
    </row>
    <row r="111" spans="1:15">
      <c r="A111" s="63" t="s">
        <v>423</v>
      </c>
      <c r="B111" s="63" t="s">
        <v>424</v>
      </c>
      <c r="C111" s="112">
        <v>772.26240000000007</v>
      </c>
      <c r="D111" s="125">
        <v>0.02</v>
      </c>
      <c r="E111" s="124">
        <v>0.04</v>
      </c>
      <c r="F111" s="119">
        <f t="shared" si="13"/>
        <v>463.35744</v>
      </c>
      <c r="G111" s="5">
        <v>0.4</v>
      </c>
      <c r="H111" s="103">
        <f t="shared" si="4"/>
        <v>2.2046000000000001</v>
      </c>
      <c r="I111" s="68">
        <v>1</v>
      </c>
      <c r="J111" s="63"/>
      <c r="K111" s="122">
        <f t="shared" si="14"/>
        <v>679.59091200000012</v>
      </c>
      <c r="O111" s="112">
        <v>757.12</v>
      </c>
    </row>
    <row r="112" spans="1:15">
      <c r="A112" s="63" t="s">
        <v>425</v>
      </c>
      <c r="B112" s="63" t="s">
        <v>426</v>
      </c>
      <c r="C112" s="112">
        <v>159.12</v>
      </c>
      <c r="D112" s="125">
        <v>0.02</v>
      </c>
      <c r="E112" s="124">
        <v>0.04</v>
      </c>
      <c r="F112" s="119">
        <f t="shared" si="13"/>
        <v>95.471999999999994</v>
      </c>
      <c r="G112" s="5">
        <v>0.4</v>
      </c>
      <c r="H112" s="103">
        <v>1</v>
      </c>
      <c r="I112" s="68">
        <v>0.5</v>
      </c>
      <c r="J112" s="63"/>
      <c r="K112" s="122">
        <f t="shared" si="14"/>
        <v>140.0256</v>
      </c>
      <c r="O112" s="112">
        <v>156</v>
      </c>
    </row>
    <row r="113" spans="1:15">
      <c r="A113" s="63" t="s">
        <v>427</v>
      </c>
      <c r="B113" s="63" t="s">
        <v>428</v>
      </c>
      <c r="C113" s="112">
        <v>270.50400000000002</v>
      </c>
      <c r="D113" s="125">
        <v>0.02</v>
      </c>
      <c r="E113" s="124">
        <v>0.04</v>
      </c>
      <c r="F113" s="119">
        <f t="shared" si="13"/>
        <v>162.30239999999998</v>
      </c>
      <c r="G113" s="5">
        <v>0.40000000000000008</v>
      </c>
      <c r="H113" s="103">
        <f t="shared" ref="H113:H127" si="15">I113*2.2046</f>
        <v>2.2046000000000001</v>
      </c>
      <c r="I113" s="68">
        <v>1</v>
      </c>
      <c r="J113" s="63"/>
      <c r="K113" s="122">
        <f t="shared" si="14"/>
        <v>238.04352000000003</v>
      </c>
      <c r="O113" s="112">
        <v>265.2</v>
      </c>
    </row>
    <row r="114" spans="1:15">
      <c r="A114" s="63" t="s">
        <v>429</v>
      </c>
      <c r="B114" s="63" t="s">
        <v>430</v>
      </c>
      <c r="C114" s="112">
        <v>270.50400000000002</v>
      </c>
      <c r="D114" s="125">
        <v>0.02</v>
      </c>
      <c r="E114" s="124">
        <v>0.04</v>
      </c>
      <c r="F114" s="119">
        <f t="shared" si="13"/>
        <v>162.30240000000001</v>
      </c>
      <c r="G114" s="5">
        <v>0.4</v>
      </c>
      <c r="H114" s="103">
        <f t="shared" si="15"/>
        <v>2.2046000000000001</v>
      </c>
      <c r="I114" s="68">
        <v>1</v>
      </c>
      <c r="J114" s="63"/>
      <c r="K114" s="122">
        <f t="shared" si="14"/>
        <v>238.04352000000003</v>
      </c>
      <c r="O114" s="112">
        <v>265.2</v>
      </c>
    </row>
    <row r="115" spans="1:15">
      <c r="A115" s="63" t="s">
        <v>431</v>
      </c>
      <c r="B115" s="63" t="s">
        <v>432</v>
      </c>
      <c r="C115" s="112">
        <v>270.50400000000002</v>
      </c>
      <c r="D115" s="125">
        <v>0.02</v>
      </c>
      <c r="E115" s="124">
        <v>0.04</v>
      </c>
      <c r="F115" s="119">
        <f t="shared" si="13"/>
        <v>162.30240000000001</v>
      </c>
      <c r="G115" s="5">
        <v>0.4</v>
      </c>
      <c r="H115" s="103">
        <f t="shared" si="15"/>
        <v>2.2046000000000001</v>
      </c>
      <c r="I115" s="68">
        <v>1</v>
      </c>
      <c r="J115" s="63"/>
      <c r="K115" s="122">
        <f t="shared" si="14"/>
        <v>238.04352000000003</v>
      </c>
      <c r="O115" s="112">
        <v>265.2</v>
      </c>
    </row>
    <row r="116" spans="1:15">
      <c r="A116" s="63" t="s">
        <v>433</v>
      </c>
      <c r="B116" s="63" t="s">
        <v>434</v>
      </c>
      <c r="C116" s="112">
        <v>270.50400000000002</v>
      </c>
      <c r="D116" s="125">
        <v>0.02</v>
      </c>
      <c r="E116" s="124">
        <v>0.04</v>
      </c>
      <c r="F116" s="119">
        <f t="shared" si="13"/>
        <v>162.30240000000001</v>
      </c>
      <c r="G116" s="5">
        <v>0.4</v>
      </c>
      <c r="H116" s="103">
        <f t="shared" si="15"/>
        <v>2.2046000000000001</v>
      </c>
      <c r="I116" s="68">
        <v>1</v>
      </c>
      <c r="J116" s="63"/>
      <c r="K116" s="122">
        <f t="shared" si="14"/>
        <v>238.04352000000003</v>
      </c>
      <c r="O116" s="112">
        <v>265.2</v>
      </c>
    </row>
    <row r="117" spans="1:15">
      <c r="A117" s="63" t="s">
        <v>435</v>
      </c>
      <c r="B117" s="63" t="s">
        <v>436</v>
      </c>
      <c r="C117" s="112">
        <v>270.50400000000002</v>
      </c>
      <c r="D117" s="125">
        <v>0.02</v>
      </c>
      <c r="E117" s="124">
        <v>0.04</v>
      </c>
      <c r="F117" s="119">
        <f t="shared" si="13"/>
        <v>162.30240000000001</v>
      </c>
      <c r="G117" s="5">
        <v>0.4</v>
      </c>
      <c r="H117" s="103">
        <f t="shared" si="15"/>
        <v>2.2046000000000001</v>
      </c>
      <c r="I117" s="68">
        <v>1</v>
      </c>
      <c r="J117" s="63"/>
      <c r="K117" s="122">
        <f t="shared" si="14"/>
        <v>238.04352000000003</v>
      </c>
      <c r="O117" s="112">
        <v>265.2</v>
      </c>
    </row>
    <row r="118" spans="1:15">
      <c r="A118" s="63" t="s">
        <v>437</v>
      </c>
      <c r="B118" s="63" t="s">
        <v>438</v>
      </c>
      <c r="C118" s="112">
        <v>270.50400000000002</v>
      </c>
      <c r="D118" s="125">
        <v>0.02</v>
      </c>
      <c r="E118" s="124">
        <v>0.04</v>
      </c>
      <c r="F118" s="119">
        <f t="shared" si="13"/>
        <v>162.30240000000001</v>
      </c>
      <c r="G118" s="5">
        <v>0.4</v>
      </c>
      <c r="H118" s="103">
        <f t="shared" si="15"/>
        <v>2.2046000000000001</v>
      </c>
      <c r="I118" s="68">
        <v>1</v>
      </c>
      <c r="J118" s="63"/>
      <c r="K118" s="122">
        <f t="shared" si="14"/>
        <v>238.04352000000003</v>
      </c>
      <c r="O118" s="112">
        <v>265.2</v>
      </c>
    </row>
    <row r="119" spans="1:15">
      <c r="A119" s="63" t="s">
        <v>439</v>
      </c>
      <c r="B119" s="63" t="s">
        <v>440</v>
      </c>
      <c r="C119" s="112">
        <v>416.16</v>
      </c>
      <c r="D119" s="125">
        <v>0.02</v>
      </c>
      <c r="E119" s="124">
        <v>0.6</v>
      </c>
      <c r="F119" s="119">
        <f t="shared" si="13"/>
        <v>249.696</v>
      </c>
      <c r="G119" s="5">
        <v>0.4</v>
      </c>
      <c r="H119" s="103">
        <f t="shared" si="15"/>
        <v>2.2046000000000001</v>
      </c>
      <c r="I119" s="68">
        <v>1</v>
      </c>
      <c r="J119" s="63"/>
      <c r="K119" s="122">
        <f t="shared" si="14"/>
        <v>366.2208</v>
      </c>
      <c r="O119" s="112">
        <v>408</v>
      </c>
    </row>
    <row r="120" spans="1:15">
      <c r="A120" s="63" t="s">
        <v>441</v>
      </c>
      <c r="B120" s="63" t="s">
        <v>442</v>
      </c>
      <c r="C120" s="112">
        <v>270.50400000000002</v>
      </c>
      <c r="D120" s="125">
        <v>0.02</v>
      </c>
      <c r="E120" s="124">
        <v>0.04</v>
      </c>
      <c r="F120" s="119">
        <f t="shared" si="13"/>
        <v>162.30240000000001</v>
      </c>
      <c r="G120" s="5">
        <v>0.4</v>
      </c>
      <c r="H120" s="103">
        <f t="shared" si="15"/>
        <v>2.2046000000000001</v>
      </c>
      <c r="I120" s="68">
        <v>1</v>
      </c>
      <c r="J120" s="63"/>
      <c r="K120" s="122">
        <f t="shared" si="14"/>
        <v>238.04352000000003</v>
      </c>
      <c r="O120" s="112">
        <v>265.2</v>
      </c>
    </row>
    <row r="121" spans="1:15">
      <c r="A121" s="63" t="s">
        <v>443</v>
      </c>
      <c r="B121" s="63" t="s">
        <v>444</v>
      </c>
      <c r="C121" s="112">
        <v>270.50400000000002</v>
      </c>
      <c r="D121" s="125">
        <v>0.02</v>
      </c>
      <c r="E121" s="124">
        <v>0.04</v>
      </c>
      <c r="F121" s="119">
        <f t="shared" si="13"/>
        <v>162.30240000000001</v>
      </c>
      <c r="G121" s="5">
        <v>0.4</v>
      </c>
      <c r="H121" s="103">
        <f t="shared" si="15"/>
        <v>2.2046000000000001</v>
      </c>
      <c r="I121" s="68">
        <v>1</v>
      </c>
      <c r="J121" s="63"/>
      <c r="K121" s="122">
        <f t="shared" si="14"/>
        <v>238.04352000000003</v>
      </c>
      <c r="O121" s="112">
        <v>265.2</v>
      </c>
    </row>
    <row r="122" spans="1:15">
      <c r="A122" s="63" t="s">
        <v>445</v>
      </c>
      <c r="B122" s="63" t="s">
        <v>446</v>
      </c>
      <c r="C122" s="112">
        <v>270.50400000000002</v>
      </c>
      <c r="D122" s="125">
        <v>0.02</v>
      </c>
      <c r="E122" s="124">
        <v>0.04</v>
      </c>
      <c r="F122" s="119">
        <f t="shared" si="13"/>
        <v>162.30240000000001</v>
      </c>
      <c r="G122" s="5">
        <v>0.4</v>
      </c>
      <c r="H122" s="103">
        <f t="shared" si="15"/>
        <v>2.2046000000000001</v>
      </c>
      <c r="I122" s="68">
        <v>1</v>
      </c>
      <c r="J122" s="63"/>
      <c r="K122" s="122">
        <f t="shared" si="14"/>
        <v>238.04352000000003</v>
      </c>
      <c r="O122" s="112">
        <v>265.2</v>
      </c>
    </row>
    <row r="123" spans="1:15">
      <c r="A123" s="63" t="s">
        <v>447</v>
      </c>
      <c r="B123" s="63" t="s">
        <v>448</v>
      </c>
      <c r="C123" s="112">
        <v>270.50400000000002</v>
      </c>
      <c r="D123" s="125">
        <v>0.02</v>
      </c>
      <c r="E123" s="124">
        <v>0.04</v>
      </c>
      <c r="F123" s="119">
        <f t="shared" si="13"/>
        <v>162.30240000000001</v>
      </c>
      <c r="G123" s="5">
        <v>0.4</v>
      </c>
      <c r="H123" s="103">
        <f t="shared" si="15"/>
        <v>2.2046000000000001</v>
      </c>
      <c r="I123" s="68">
        <v>1</v>
      </c>
      <c r="J123" s="63"/>
      <c r="K123" s="122">
        <f t="shared" si="14"/>
        <v>238.04352000000003</v>
      </c>
      <c r="O123" s="112">
        <v>265.2</v>
      </c>
    </row>
    <row r="124" spans="1:15">
      <c r="A124" s="63" t="s">
        <v>449</v>
      </c>
      <c r="B124" s="63" t="s">
        <v>450</v>
      </c>
      <c r="C124" s="112">
        <v>270.50400000000002</v>
      </c>
      <c r="D124" s="125">
        <v>0.02</v>
      </c>
      <c r="E124" s="124">
        <v>0.04</v>
      </c>
      <c r="F124" s="119">
        <f t="shared" si="13"/>
        <v>162.30240000000001</v>
      </c>
      <c r="G124" s="5">
        <v>0.4</v>
      </c>
      <c r="H124" s="103">
        <f t="shared" si="15"/>
        <v>2.2046000000000001</v>
      </c>
      <c r="I124" s="68">
        <v>1</v>
      </c>
      <c r="J124" s="63"/>
      <c r="K124" s="122">
        <f t="shared" si="14"/>
        <v>238.04352000000003</v>
      </c>
      <c r="O124" s="112">
        <v>265.2</v>
      </c>
    </row>
    <row r="125" spans="1:15">
      <c r="A125" s="63" t="s">
        <v>451</v>
      </c>
      <c r="B125" s="63" t="s">
        <v>452</v>
      </c>
      <c r="C125" s="112">
        <v>270.50400000000002</v>
      </c>
      <c r="D125" s="125">
        <v>0.02</v>
      </c>
      <c r="E125" s="124">
        <v>0.04</v>
      </c>
      <c r="F125" s="119">
        <f t="shared" si="13"/>
        <v>162.30240000000001</v>
      </c>
      <c r="G125" s="5">
        <v>0.4</v>
      </c>
      <c r="H125" s="103">
        <f t="shared" si="15"/>
        <v>2.2046000000000001</v>
      </c>
      <c r="I125" s="68">
        <v>1</v>
      </c>
      <c r="J125" s="63"/>
      <c r="K125" s="122">
        <f t="shared" si="14"/>
        <v>238.04352000000003</v>
      </c>
      <c r="O125" s="112">
        <v>265.2</v>
      </c>
    </row>
    <row r="126" spans="1:15">
      <c r="A126" s="63" t="s">
        <v>453</v>
      </c>
      <c r="B126" s="63" t="s">
        <v>454</v>
      </c>
      <c r="C126" s="112">
        <v>270.50400000000002</v>
      </c>
      <c r="D126" s="125">
        <v>0.02</v>
      </c>
      <c r="E126" s="124">
        <v>0.04</v>
      </c>
      <c r="F126" s="119">
        <f t="shared" si="13"/>
        <v>162.30240000000001</v>
      </c>
      <c r="G126" s="5">
        <v>0.4</v>
      </c>
      <c r="H126" s="103">
        <f t="shared" si="15"/>
        <v>2.2046000000000001</v>
      </c>
      <c r="I126" s="68">
        <v>1</v>
      </c>
      <c r="J126" s="63"/>
      <c r="K126" s="122">
        <f t="shared" si="14"/>
        <v>238.04352000000003</v>
      </c>
      <c r="O126" s="112">
        <v>265.2</v>
      </c>
    </row>
    <row r="127" spans="1:15">
      <c r="A127" s="63" t="s">
        <v>455</v>
      </c>
      <c r="B127" s="63" t="s">
        <v>511</v>
      </c>
      <c r="C127" s="112">
        <v>270.50400000000002</v>
      </c>
      <c r="D127" s="125">
        <v>0.02</v>
      </c>
      <c r="E127" s="124">
        <v>0.04</v>
      </c>
      <c r="F127" s="119">
        <f t="shared" si="13"/>
        <v>162.30240000000001</v>
      </c>
      <c r="G127" s="5">
        <v>0.4</v>
      </c>
      <c r="H127" s="103">
        <f t="shared" si="15"/>
        <v>2.2046000000000001</v>
      </c>
      <c r="I127" s="68">
        <v>1</v>
      </c>
      <c r="J127" s="63"/>
      <c r="K127" s="122">
        <f t="shared" si="14"/>
        <v>238.04352000000003</v>
      </c>
      <c r="O127" s="112">
        <v>265.2</v>
      </c>
    </row>
    <row r="128" spans="1:15" ht="15.75" customHeight="1">
      <c r="A128" s="63" t="s">
        <v>106</v>
      </c>
      <c r="B128" s="63" t="s">
        <v>192</v>
      </c>
      <c r="C128" s="112">
        <v>1707.3576</v>
      </c>
      <c r="D128" s="125">
        <v>0.02</v>
      </c>
      <c r="E128" s="124">
        <v>0.04</v>
      </c>
      <c r="F128" s="119">
        <f t="shared" si="13"/>
        <v>1024.4145599999999</v>
      </c>
      <c r="G128" s="5">
        <v>0.4</v>
      </c>
      <c r="H128" s="103">
        <f t="shared" si="4"/>
        <v>2.6455199999999999</v>
      </c>
      <c r="I128" s="105">
        <v>1.2</v>
      </c>
      <c r="J128" s="63"/>
      <c r="K128" s="122">
        <f t="shared" si="14"/>
        <v>1502.474688</v>
      </c>
      <c r="O128" s="112">
        <v>1673.88</v>
      </c>
    </row>
    <row r="129" spans="1:15">
      <c r="A129" s="63" t="s">
        <v>346</v>
      </c>
      <c r="B129" s="63" t="s">
        <v>157</v>
      </c>
      <c r="C129" s="112">
        <v>305.19216</v>
      </c>
      <c r="D129" s="125">
        <v>0.02</v>
      </c>
      <c r="E129" s="124">
        <v>0.04</v>
      </c>
      <c r="F129" s="119">
        <f t="shared" si="13"/>
        <v>183.115296</v>
      </c>
      <c r="G129" s="5">
        <v>0.4</v>
      </c>
      <c r="H129" s="103">
        <f t="shared" si="4"/>
        <v>2.2046000000000001</v>
      </c>
      <c r="I129" s="105">
        <v>1</v>
      </c>
      <c r="J129" s="63"/>
      <c r="K129" s="122">
        <f t="shared" si="14"/>
        <v>268.5691008</v>
      </c>
      <c r="O129" s="112">
        <v>299.20799999999997</v>
      </c>
    </row>
    <row r="130" spans="1:15">
      <c r="A130" s="63" t="s">
        <v>347</v>
      </c>
      <c r="B130" s="63" t="s">
        <v>91</v>
      </c>
      <c r="C130" s="112">
        <v>305.19216</v>
      </c>
      <c r="D130" s="125">
        <v>0.02</v>
      </c>
      <c r="E130" s="124">
        <v>0.04</v>
      </c>
      <c r="F130" s="119">
        <f t="shared" si="13"/>
        <v>183.115296</v>
      </c>
      <c r="G130" s="5">
        <v>0.4</v>
      </c>
      <c r="H130" s="103">
        <v>1</v>
      </c>
      <c r="I130" s="105">
        <v>0.5</v>
      </c>
      <c r="J130" s="63"/>
      <c r="K130" s="122">
        <f t="shared" si="14"/>
        <v>268.5691008</v>
      </c>
      <c r="O130" s="112">
        <v>299.20799999999997</v>
      </c>
    </row>
    <row r="131" spans="1:15">
      <c r="A131" s="63" t="s">
        <v>348</v>
      </c>
      <c r="B131" s="63" t="s">
        <v>92</v>
      </c>
      <c r="C131" s="112">
        <v>305.19216</v>
      </c>
      <c r="D131" s="125">
        <v>0.02</v>
      </c>
      <c r="E131" s="124">
        <v>0.04</v>
      </c>
      <c r="F131" s="119">
        <f t="shared" si="13"/>
        <v>183.11529599999997</v>
      </c>
      <c r="G131" s="5">
        <v>0.40000000000000008</v>
      </c>
      <c r="H131" s="103">
        <v>1</v>
      </c>
      <c r="I131" s="105">
        <v>0.5</v>
      </c>
      <c r="J131" s="63"/>
      <c r="K131" s="122">
        <f t="shared" si="14"/>
        <v>268.5691008</v>
      </c>
      <c r="O131" s="112">
        <v>299.20799999999997</v>
      </c>
    </row>
    <row r="132" spans="1:15">
      <c r="A132" s="63" t="s">
        <v>349</v>
      </c>
      <c r="B132" s="63" t="s">
        <v>501</v>
      </c>
      <c r="C132" s="112">
        <v>305.19216</v>
      </c>
      <c r="D132" s="125">
        <v>0.02</v>
      </c>
      <c r="E132" s="124">
        <v>0.04</v>
      </c>
      <c r="F132" s="119">
        <f t="shared" si="13"/>
        <v>183.115296</v>
      </c>
      <c r="G132" s="5">
        <v>0.4</v>
      </c>
      <c r="H132" s="103">
        <v>1</v>
      </c>
      <c r="I132" s="105">
        <v>0.5</v>
      </c>
      <c r="J132" s="63"/>
      <c r="K132" s="122">
        <f t="shared" si="14"/>
        <v>268.5691008</v>
      </c>
      <c r="O132" s="112">
        <v>299.20799999999997</v>
      </c>
    </row>
    <row r="133" spans="1:15">
      <c r="A133" s="63" t="s">
        <v>350</v>
      </c>
      <c r="B133" s="63" t="s">
        <v>160</v>
      </c>
      <c r="C133" s="112">
        <v>305.19216</v>
      </c>
      <c r="D133" s="125">
        <v>0.02</v>
      </c>
      <c r="E133" s="124">
        <v>0.04</v>
      </c>
      <c r="F133" s="119">
        <f t="shared" si="13"/>
        <v>183.115296</v>
      </c>
      <c r="G133" s="5">
        <v>0.4</v>
      </c>
      <c r="H133" s="103">
        <v>1</v>
      </c>
      <c r="I133" s="105">
        <v>0.5</v>
      </c>
      <c r="J133" s="63"/>
      <c r="K133" s="122">
        <f t="shared" si="14"/>
        <v>268.5691008</v>
      </c>
      <c r="O133" s="112">
        <v>299.20799999999997</v>
      </c>
    </row>
    <row r="134" spans="1:15">
      <c r="A134" s="63" t="s">
        <v>351</v>
      </c>
      <c r="B134" s="63" t="s">
        <v>502</v>
      </c>
      <c r="C134" s="112">
        <v>305.19216</v>
      </c>
      <c r="D134" s="125">
        <v>0.02</v>
      </c>
      <c r="E134" s="124">
        <v>0.04</v>
      </c>
      <c r="F134" s="119">
        <f t="shared" si="13"/>
        <v>183.115296</v>
      </c>
      <c r="G134" s="5">
        <v>0.4</v>
      </c>
      <c r="H134" s="103">
        <v>1</v>
      </c>
      <c r="I134" s="105">
        <v>0.5</v>
      </c>
      <c r="J134" s="63"/>
      <c r="K134" s="122">
        <f t="shared" si="14"/>
        <v>268.5691008</v>
      </c>
      <c r="O134" s="112">
        <v>299.20799999999997</v>
      </c>
    </row>
    <row r="135" spans="1:15">
      <c r="A135" s="63" t="s">
        <v>352</v>
      </c>
      <c r="B135" s="63" t="s">
        <v>560</v>
      </c>
      <c r="C135" s="112">
        <v>305.19216</v>
      </c>
      <c r="D135" s="125">
        <v>0.02</v>
      </c>
      <c r="E135" s="124">
        <v>0.04</v>
      </c>
      <c r="F135" s="119">
        <f t="shared" si="13"/>
        <v>183.115296</v>
      </c>
      <c r="G135" s="5">
        <v>0.4</v>
      </c>
      <c r="H135" s="103">
        <v>1</v>
      </c>
      <c r="I135" s="105">
        <v>0.5</v>
      </c>
      <c r="J135" s="63"/>
      <c r="K135" s="122">
        <f t="shared" si="14"/>
        <v>268.5691008</v>
      </c>
      <c r="O135" s="112">
        <v>299.20799999999997</v>
      </c>
    </row>
    <row r="136" spans="1:15">
      <c r="A136" s="63" t="s">
        <v>353</v>
      </c>
      <c r="B136" s="63" t="s">
        <v>93</v>
      </c>
      <c r="C136" s="112">
        <v>305.19216</v>
      </c>
      <c r="D136" s="125">
        <v>0.02</v>
      </c>
      <c r="E136" s="124">
        <v>0.04</v>
      </c>
      <c r="F136" s="119">
        <f t="shared" si="13"/>
        <v>183.115296</v>
      </c>
      <c r="G136" s="5">
        <v>0.4</v>
      </c>
      <c r="H136" s="103">
        <v>1</v>
      </c>
      <c r="I136" s="105">
        <v>0.5</v>
      </c>
      <c r="J136" s="63"/>
      <c r="K136" s="122">
        <f t="shared" si="14"/>
        <v>268.5691008</v>
      </c>
      <c r="O136" s="112">
        <v>299.20799999999997</v>
      </c>
    </row>
    <row r="137" spans="1:15">
      <c r="A137" s="63" t="s">
        <v>354</v>
      </c>
      <c r="B137" s="63" t="s">
        <v>94</v>
      </c>
      <c r="C137" s="112">
        <v>305.19216</v>
      </c>
      <c r="D137" s="125">
        <v>0.02</v>
      </c>
      <c r="E137" s="124">
        <v>0.04</v>
      </c>
      <c r="F137" s="119">
        <f t="shared" si="13"/>
        <v>183.115296</v>
      </c>
      <c r="G137" s="5">
        <v>0.4</v>
      </c>
      <c r="H137" s="103">
        <v>1</v>
      </c>
      <c r="I137" s="105">
        <v>0.5</v>
      </c>
      <c r="J137" s="63"/>
      <c r="K137" s="122">
        <f t="shared" si="14"/>
        <v>268.5691008</v>
      </c>
      <c r="O137" s="112">
        <v>299.20799999999997</v>
      </c>
    </row>
    <row r="138" spans="1:15">
      <c r="A138" s="63" t="s">
        <v>54</v>
      </c>
      <c r="B138" s="63" t="s">
        <v>193</v>
      </c>
      <c r="C138" s="112">
        <v>2595.8836799999999</v>
      </c>
      <c r="D138" s="125">
        <v>0.02</v>
      </c>
      <c r="E138" s="124">
        <v>0.04</v>
      </c>
      <c r="F138" s="119">
        <f t="shared" si="13"/>
        <v>1557.5302079999999</v>
      </c>
      <c r="G138" s="5">
        <v>0.4</v>
      </c>
      <c r="H138" s="103">
        <v>5</v>
      </c>
      <c r="I138" s="68">
        <v>2.2000000000000002</v>
      </c>
      <c r="J138" s="63"/>
      <c r="K138" s="122">
        <f t="shared" si="14"/>
        <v>2284.3776383999998</v>
      </c>
      <c r="O138" s="112">
        <v>2544.9839999999999</v>
      </c>
    </row>
    <row r="139" spans="1:15">
      <c r="A139" s="63" t="s">
        <v>355</v>
      </c>
      <c r="B139" s="63" t="s">
        <v>95</v>
      </c>
      <c r="C139" s="112">
        <v>251.30352000000002</v>
      </c>
      <c r="D139" s="125">
        <v>0.02</v>
      </c>
      <c r="E139" s="124">
        <v>0.04</v>
      </c>
      <c r="F139" s="119">
        <f t="shared" ref="F139:F170" si="16">C139*(1-G139)</f>
        <v>150.78211200000001</v>
      </c>
      <c r="G139" s="5">
        <v>0.4</v>
      </c>
      <c r="H139" s="103">
        <f t="shared" si="4"/>
        <v>1.1023000000000001</v>
      </c>
      <c r="I139" s="68">
        <v>0.5</v>
      </c>
      <c r="J139" s="63"/>
      <c r="K139" s="122">
        <f t="shared" ref="K139:K175" si="17">C139*0.88</f>
        <v>221.14709760000002</v>
      </c>
      <c r="O139" s="112">
        <v>246.376</v>
      </c>
    </row>
    <row r="140" spans="1:15">
      <c r="A140" s="63" t="s">
        <v>356</v>
      </c>
      <c r="B140" s="63" t="s">
        <v>96</v>
      </c>
      <c r="C140" s="112">
        <v>251.30352000000002</v>
      </c>
      <c r="D140" s="125">
        <v>0.02</v>
      </c>
      <c r="E140" s="124">
        <v>0.04</v>
      </c>
      <c r="F140" s="119">
        <f t="shared" si="16"/>
        <v>150.78211200000001</v>
      </c>
      <c r="G140" s="5">
        <v>0.4</v>
      </c>
      <c r="H140" s="103">
        <v>1</v>
      </c>
      <c r="I140" s="68">
        <v>0.5</v>
      </c>
      <c r="J140" s="63"/>
      <c r="K140" s="122">
        <f t="shared" si="17"/>
        <v>221.14709760000002</v>
      </c>
      <c r="O140" s="112">
        <v>246.376</v>
      </c>
    </row>
    <row r="141" spans="1:15">
      <c r="A141" s="63" t="s">
        <v>357</v>
      </c>
      <c r="B141" s="63" t="s">
        <v>494</v>
      </c>
      <c r="C141" s="112">
        <v>251.30352000000002</v>
      </c>
      <c r="D141" s="125">
        <v>0.02</v>
      </c>
      <c r="E141" s="124">
        <v>0.04</v>
      </c>
      <c r="F141" s="119">
        <f t="shared" si="16"/>
        <v>150.78211200000001</v>
      </c>
      <c r="G141" s="5">
        <v>0.4</v>
      </c>
      <c r="H141" s="103">
        <v>1</v>
      </c>
      <c r="I141" s="68">
        <v>0.5</v>
      </c>
      <c r="J141" s="63"/>
      <c r="K141" s="122">
        <f t="shared" si="17"/>
        <v>221.14709760000002</v>
      </c>
      <c r="O141" s="112">
        <v>246.376</v>
      </c>
    </row>
    <row r="142" spans="1:15">
      <c r="A142" s="63" t="s">
        <v>358</v>
      </c>
      <c r="B142" s="63" t="s">
        <v>161</v>
      </c>
      <c r="C142" s="112">
        <v>251.30352000000002</v>
      </c>
      <c r="D142" s="125">
        <v>0.02</v>
      </c>
      <c r="E142" s="124">
        <v>0.04</v>
      </c>
      <c r="F142" s="119">
        <f t="shared" si="16"/>
        <v>150.78211200000001</v>
      </c>
      <c r="G142" s="5">
        <v>0.4</v>
      </c>
      <c r="H142" s="103">
        <v>1</v>
      </c>
      <c r="I142" s="68">
        <v>0.5</v>
      </c>
      <c r="J142" s="63"/>
      <c r="K142" s="122">
        <f t="shared" si="17"/>
        <v>221.14709760000002</v>
      </c>
      <c r="O142" s="112">
        <v>246.376</v>
      </c>
    </row>
    <row r="143" spans="1:15">
      <c r="A143" s="63" t="s">
        <v>359</v>
      </c>
      <c r="B143" s="63" t="s">
        <v>495</v>
      </c>
      <c r="C143" s="112">
        <v>251.30352000000002</v>
      </c>
      <c r="D143" s="125">
        <v>0.02</v>
      </c>
      <c r="E143" s="124">
        <v>0.04</v>
      </c>
      <c r="F143" s="119">
        <f t="shared" si="16"/>
        <v>150.78211200000001</v>
      </c>
      <c r="G143" s="5">
        <v>0.4</v>
      </c>
      <c r="H143" s="103">
        <f t="shared" si="4"/>
        <v>1.1023000000000001</v>
      </c>
      <c r="I143" s="68">
        <v>0.5</v>
      </c>
      <c r="J143" s="63"/>
      <c r="K143" s="122">
        <f t="shared" si="17"/>
        <v>221.14709760000002</v>
      </c>
      <c r="O143" s="112">
        <v>246.376</v>
      </c>
    </row>
    <row r="144" spans="1:15">
      <c r="A144" s="63" t="s">
        <v>360</v>
      </c>
      <c r="B144" s="63" t="s">
        <v>496</v>
      </c>
      <c r="C144" s="112">
        <v>251.30352000000002</v>
      </c>
      <c r="D144" s="125">
        <v>0.02</v>
      </c>
      <c r="E144" s="124">
        <v>0.04</v>
      </c>
      <c r="F144" s="119">
        <f t="shared" si="16"/>
        <v>150.78211200000001</v>
      </c>
      <c r="G144" s="5">
        <v>0.4</v>
      </c>
      <c r="H144" s="103">
        <v>1</v>
      </c>
      <c r="I144" s="68">
        <v>0.5</v>
      </c>
      <c r="J144" s="63"/>
      <c r="K144" s="122">
        <f t="shared" si="17"/>
        <v>221.14709760000002</v>
      </c>
      <c r="O144" s="112">
        <v>246.376</v>
      </c>
    </row>
    <row r="145" spans="1:15">
      <c r="A145" s="63" t="s">
        <v>361</v>
      </c>
      <c r="B145" s="63" t="s">
        <v>162</v>
      </c>
      <c r="C145" s="112">
        <v>251.30352000000002</v>
      </c>
      <c r="D145" s="125">
        <v>0.02</v>
      </c>
      <c r="E145" s="124">
        <v>0.04</v>
      </c>
      <c r="F145" s="119">
        <f t="shared" si="16"/>
        <v>150.78211200000001</v>
      </c>
      <c r="G145" s="5">
        <v>0.4</v>
      </c>
      <c r="H145" s="103">
        <f t="shared" ref="H145" si="18">I145*2.2046</f>
        <v>1.1023000000000001</v>
      </c>
      <c r="I145" s="68">
        <v>0.5</v>
      </c>
      <c r="J145" s="63"/>
      <c r="K145" s="122">
        <f t="shared" si="17"/>
        <v>221.14709760000002</v>
      </c>
      <c r="O145" s="112">
        <v>246.376</v>
      </c>
    </row>
    <row r="146" spans="1:15">
      <c r="A146" s="63" t="s">
        <v>362</v>
      </c>
      <c r="B146" s="63" t="s">
        <v>194</v>
      </c>
      <c r="C146" s="112">
        <v>251.30352000000002</v>
      </c>
      <c r="D146" s="125">
        <v>0.02</v>
      </c>
      <c r="E146" s="124">
        <v>0.04</v>
      </c>
      <c r="F146" s="119">
        <f t="shared" si="16"/>
        <v>150.78211200000001</v>
      </c>
      <c r="G146" s="5">
        <v>0.4</v>
      </c>
      <c r="H146" s="103">
        <f t="shared" si="4"/>
        <v>1.1023000000000001</v>
      </c>
      <c r="I146" s="68">
        <v>0.5</v>
      </c>
      <c r="J146" s="63"/>
      <c r="K146" s="122">
        <f t="shared" si="17"/>
        <v>221.14709760000002</v>
      </c>
      <c r="O146" s="112">
        <v>246.376</v>
      </c>
    </row>
    <row r="147" spans="1:15">
      <c r="A147" s="63" t="s">
        <v>363</v>
      </c>
      <c r="B147" s="63" t="s">
        <v>195</v>
      </c>
      <c r="C147" s="112">
        <v>251.30352000000002</v>
      </c>
      <c r="D147" s="125">
        <v>0.02</v>
      </c>
      <c r="E147" s="124">
        <v>0.04</v>
      </c>
      <c r="F147" s="119">
        <f t="shared" si="16"/>
        <v>150.78211200000001</v>
      </c>
      <c r="G147" s="5">
        <v>0.4</v>
      </c>
      <c r="H147" s="103">
        <f t="shared" si="4"/>
        <v>1.1023000000000001</v>
      </c>
      <c r="I147" s="68">
        <v>0.5</v>
      </c>
      <c r="J147" s="63"/>
      <c r="K147" s="122">
        <f t="shared" si="17"/>
        <v>221.14709760000002</v>
      </c>
      <c r="O147" s="112">
        <v>246.376</v>
      </c>
    </row>
    <row r="148" spans="1:15">
      <c r="A148" s="63" t="s">
        <v>364</v>
      </c>
      <c r="B148" s="63" t="s">
        <v>97</v>
      </c>
      <c r="C148" s="112">
        <v>251.30352000000002</v>
      </c>
      <c r="D148" s="125">
        <v>0.02</v>
      </c>
      <c r="E148" s="124">
        <v>0.04</v>
      </c>
      <c r="F148" s="119">
        <f t="shared" si="16"/>
        <v>150.78211200000001</v>
      </c>
      <c r="G148" s="5">
        <v>0.4</v>
      </c>
      <c r="H148" s="103">
        <f t="shared" si="4"/>
        <v>1.1023000000000001</v>
      </c>
      <c r="I148" s="68">
        <v>0.5</v>
      </c>
      <c r="J148" s="63"/>
      <c r="K148" s="122">
        <f t="shared" si="17"/>
        <v>221.14709760000002</v>
      </c>
      <c r="O148" s="112">
        <v>246.376</v>
      </c>
    </row>
    <row r="149" spans="1:15">
      <c r="A149" s="63" t="s">
        <v>55</v>
      </c>
      <c r="B149" s="63" t="s">
        <v>196</v>
      </c>
      <c r="C149" s="112">
        <v>1893.63408</v>
      </c>
      <c r="D149" s="125">
        <v>0.02</v>
      </c>
      <c r="E149" s="124">
        <v>0.04</v>
      </c>
      <c r="F149" s="119">
        <f t="shared" si="16"/>
        <v>1136.1804480000001</v>
      </c>
      <c r="G149" s="5">
        <v>0.4</v>
      </c>
      <c r="H149" s="103">
        <f>I149*2.2046</f>
        <v>2.6455199999999999</v>
      </c>
      <c r="I149" s="68">
        <v>1.2</v>
      </c>
      <c r="J149" s="63"/>
      <c r="K149" s="122">
        <f t="shared" si="17"/>
        <v>1666.3979904</v>
      </c>
      <c r="O149" s="112">
        <v>1856.5039999999999</v>
      </c>
    </row>
    <row r="150" spans="1:15">
      <c r="A150" s="63" t="s">
        <v>365</v>
      </c>
      <c r="B150" s="63" t="s">
        <v>484</v>
      </c>
      <c r="C150" s="112">
        <v>659.39328000000012</v>
      </c>
      <c r="D150" s="125">
        <v>0.02</v>
      </c>
      <c r="E150" s="124">
        <v>0.04</v>
      </c>
      <c r="F150" s="119">
        <f t="shared" si="16"/>
        <v>395.63596800000005</v>
      </c>
      <c r="G150" s="5">
        <v>0.4</v>
      </c>
      <c r="H150" s="103">
        <f>I150*2.2046</f>
        <v>3.3069000000000002</v>
      </c>
      <c r="I150" s="68">
        <v>1.5</v>
      </c>
      <c r="J150" s="63"/>
      <c r="K150" s="122">
        <f t="shared" si="17"/>
        <v>580.26608640000006</v>
      </c>
      <c r="O150" s="112">
        <v>646.46400000000006</v>
      </c>
    </row>
    <row r="151" spans="1:15">
      <c r="A151" s="63" t="s">
        <v>366</v>
      </c>
      <c r="B151" s="63" t="s">
        <v>485</v>
      </c>
      <c r="C151" s="112">
        <v>437.58</v>
      </c>
      <c r="D151" s="125">
        <v>0.02</v>
      </c>
      <c r="E151" s="124">
        <v>0.04</v>
      </c>
      <c r="F151" s="119">
        <f t="shared" si="16"/>
        <v>262.548</v>
      </c>
      <c r="G151" s="5">
        <v>0.4</v>
      </c>
      <c r="H151" s="103">
        <f>I151*2.2046</f>
        <v>1.1023000000000001</v>
      </c>
      <c r="I151" s="68">
        <v>0.5</v>
      </c>
      <c r="J151" s="63"/>
      <c r="K151" s="122">
        <f t="shared" si="17"/>
        <v>385.07040000000001</v>
      </c>
      <c r="O151" s="112">
        <v>429</v>
      </c>
    </row>
    <row r="152" spans="1:15">
      <c r="A152" s="63" t="s">
        <v>367</v>
      </c>
      <c r="B152" s="63" t="s">
        <v>486</v>
      </c>
      <c r="C152" s="112">
        <v>437.58</v>
      </c>
      <c r="D152" s="125">
        <v>0.02</v>
      </c>
      <c r="E152" s="124">
        <v>0.04</v>
      </c>
      <c r="F152" s="119">
        <f t="shared" si="16"/>
        <v>262.548</v>
      </c>
      <c r="G152" s="5">
        <v>0.4</v>
      </c>
      <c r="H152" s="103">
        <f>I152*2.2046</f>
        <v>1.1023000000000001</v>
      </c>
      <c r="I152" s="68">
        <v>0.5</v>
      </c>
      <c r="J152" s="63"/>
      <c r="K152" s="122">
        <f t="shared" si="17"/>
        <v>385.07040000000001</v>
      </c>
      <c r="O152" s="112">
        <v>429</v>
      </c>
    </row>
    <row r="153" spans="1:15">
      <c r="A153" s="63" t="s">
        <v>56</v>
      </c>
      <c r="B153" s="63" t="s">
        <v>197</v>
      </c>
      <c r="C153" s="112">
        <v>2882.7240000000002</v>
      </c>
      <c r="D153" s="125">
        <v>0.02</v>
      </c>
      <c r="E153" s="124">
        <v>0.04</v>
      </c>
      <c r="F153" s="119">
        <f t="shared" si="16"/>
        <v>1729.6344000000004</v>
      </c>
      <c r="G153" s="5">
        <v>0.39999999999999997</v>
      </c>
      <c r="H153" s="103">
        <f t="shared" si="4"/>
        <v>7.0547200000000005</v>
      </c>
      <c r="I153" s="68">
        <v>3.2</v>
      </c>
      <c r="J153" s="63"/>
      <c r="K153" s="122">
        <f t="shared" si="17"/>
        <v>2536.7971200000002</v>
      </c>
      <c r="O153" s="112">
        <v>2826.2000000000003</v>
      </c>
    </row>
    <row r="154" spans="1:15">
      <c r="A154" s="63" t="s">
        <v>368</v>
      </c>
      <c r="B154" s="63" t="s">
        <v>198</v>
      </c>
      <c r="C154" s="112">
        <v>97.495680000000007</v>
      </c>
      <c r="D154" s="125">
        <v>0.02</v>
      </c>
      <c r="E154" s="124">
        <v>0.03</v>
      </c>
      <c r="F154" s="119">
        <f t="shared" si="16"/>
        <v>53.622624000000009</v>
      </c>
      <c r="G154" s="5">
        <v>0.45</v>
      </c>
      <c r="H154" s="103">
        <f t="shared" si="4"/>
        <v>2.2046000000000001</v>
      </c>
      <c r="I154" s="100">
        <v>1</v>
      </c>
      <c r="J154" s="63"/>
      <c r="K154" s="122">
        <f t="shared" si="17"/>
        <v>85.796198400000009</v>
      </c>
      <c r="O154" s="112">
        <v>95.584000000000003</v>
      </c>
    </row>
    <row r="155" spans="1:15" s="70" customFormat="1">
      <c r="A155" s="63" t="s">
        <v>10</v>
      </c>
      <c r="B155" s="63" t="s">
        <v>199</v>
      </c>
      <c r="C155" s="112">
        <v>97.495680000000007</v>
      </c>
      <c r="D155" s="125">
        <v>0.02</v>
      </c>
      <c r="E155" s="124">
        <v>0.03</v>
      </c>
      <c r="F155" s="119">
        <f t="shared" si="16"/>
        <v>53.622624000000009</v>
      </c>
      <c r="G155" s="5">
        <v>0.45</v>
      </c>
      <c r="H155" s="103">
        <f t="shared" si="4"/>
        <v>2.2046000000000001</v>
      </c>
      <c r="I155" s="100">
        <v>1</v>
      </c>
      <c r="J155" s="63"/>
      <c r="K155" s="122">
        <f t="shared" si="17"/>
        <v>85.796198400000009</v>
      </c>
      <c r="O155" s="112">
        <v>95.584000000000003</v>
      </c>
    </row>
    <row r="156" spans="1:15" ht="30">
      <c r="A156" s="77" t="s">
        <v>311</v>
      </c>
      <c r="B156" s="78" t="s">
        <v>312</v>
      </c>
      <c r="C156" s="116">
        <v>235.72200000000001</v>
      </c>
      <c r="D156" s="125">
        <v>0.02</v>
      </c>
      <c r="E156" s="124">
        <v>0</v>
      </c>
      <c r="F156" s="120">
        <f t="shared" si="16"/>
        <v>141.4332</v>
      </c>
      <c r="G156" s="71">
        <v>0.4</v>
      </c>
      <c r="H156" s="103">
        <v>5</v>
      </c>
      <c r="I156" s="100">
        <v>2.5</v>
      </c>
      <c r="J156" s="92"/>
      <c r="K156" s="122">
        <f t="shared" si="17"/>
        <v>207.43536</v>
      </c>
      <c r="O156" s="116">
        <v>231.1</v>
      </c>
    </row>
    <row r="157" spans="1:15">
      <c r="A157" s="63" t="s">
        <v>369</v>
      </c>
      <c r="B157" s="63" t="s">
        <v>156</v>
      </c>
      <c r="C157" s="112">
        <v>252.47040000000001</v>
      </c>
      <c r="D157" s="125">
        <v>0.02</v>
      </c>
      <c r="E157" s="124">
        <v>0.04</v>
      </c>
      <c r="F157" s="119">
        <f t="shared" si="16"/>
        <v>151.48223999999999</v>
      </c>
      <c r="G157" s="5">
        <v>0.4</v>
      </c>
      <c r="H157" s="103">
        <v>2</v>
      </c>
      <c r="I157" s="100">
        <v>1</v>
      </c>
      <c r="J157" s="63"/>
      <c r="K157" s="122">
        <f t="shared" si="17"/>
        <v>222.17395200000001</v>
      </c>
      <c r="O157" s="112">
        <v>247.52</v>
      </c>
    </row>
    <row r="158" spans="1:15">
      <c r="A158" s="63" t="s">
        <v>104</v>
      </c>
      <c r="B158" s="63" t="s">
        <v>553</v>
      </c>
      <c r="C158" s="112">
        <v>1513.6555200000003</v>
      </c>
      <c r="D158" s="125">
        <v>0.02</v>
      </c>
      <c r="E158" s="124">
        <v>0.04</v>
      </c>
      <c r="F158" s="119">
        <f t="shared" si="16"/>
        <v>908.19331200000011</v>
      </c>
      <c r="G158" s="5">
        <v>0.4</v>
      </c>
      <c r="H158" s="103">
        <f t="shared" si="4"/>
        <v>4.4092000000000002</v>
      </c>
      <c r="I158" s="68">
        <v>2</v>
      </c>
      <c r="J158" s="63"/>
      <c r="K158" s="122">
        <f t="shared" si="17"/>
        <v>1332.0168576000003</v>
      </c>
      <c r="O158" s="112">
        <v>1483.9760000000001</v>
      </c>
    </row>
    <row r="159" spans="1:15">
      <c r="A159" s="63" t="s">
        <v>327</v>
      </c>
      <c r="B159" s="63" t="s">
        <v>551</v>
      </c>
      <c r="C159" s="112">
        <v>153.17952000000002</v>
      </c>
      <c r="D159" s="125">
        <v>0.02</v>
      </c>
      <c r="E159" s="124">
        <v>0.04</v>
      </c>
      <c r="F159" s="119">
        <f t="shared" si="16"/>
        <v>91.907712000000018</v>
      </c>
      <c r="G159" s="5">
        <v>0.4</v>
      </c>
      <c r="H159" s="103">
        <f t="shared" si="4"/>
        <v>2.2046000000000001</v>
      </c>
      <c r="I159" s="100">
        <v>1</v>
      </c>
      <c r="J159" s="63"/>
      <c r="K159" s="122">
        <f t="shared" si="17"/>
        <v>134.79797760000002</v>
      </c>
      <c r="O159" s="112">
        <v>150.17600000000002</v>
      </c>
    </row>
    <row r="160" spans="1:15">
      <c r="A160" s="63" t="s">
        <v>328</v>
      </c>
      <c r="B160" s="63" t="s">
        <v>552</v>
      </c>
      <c r="C160" s="112">
        <v>153.17952000000002</v>
      </c>
      <c r="D160" s="125">
        <v>0.02</v>
      </c>
      <c r="E160" s="124">
        <v>0.04</v>
      </c>
      <c r="F160" s="119">
        <f t="shared" si="16"/>
        <v>91.907712000000018</v>
      </c>
      <c r="G160" s="5">
        <v>0.4</v>
      </c>
      <c r="H160" s="103">
        <f t="shared" si="4"/>
        <v>2.2046000000000001</v>
      </c>
      <c r="I160" s="100">
        <v>1</v>
      </c>
      <c r="J160" s="63"/>
      <c r="K160" s="122">
        <f t="shared" si="17"/>
        <v>134.79797760000002</v>
      </c>
      <c r="O160" s="112">
        <v>150.17600000000002</v>
      </c>
    </row>
    <row r="161" spans="1:15">
      <c r="A161" s="63" t="s">
        <v>370</v>
      </c>
      <c r="B161" s="63" t="s">
        <v>191</v>
      </c>
      <c r="C161" s="112">
        <v>52.721760000000003</v>
      </c>
      <c r="D161" s="125">
        <v>0.02</v>
      </c>
      <c r="E161" s="124">
        <v>0.04</v>
      </c>
      <c r="F161" s="119">
        <f t="shared" si="16"/>
        <v>31.633056</v>
      </c>
      <c r="G161" s="5">
        <v>0.4</v>
      </c>
      <c r="H161" s="103">
        <v>1</v>
      </c>
      <c r="I161" s="100">
        <v>0.5</v>
      </c>
      <c r="J161" s="63"/>
      <c r="K161" s="122">
        <f t="shared" si="17"/>
        <v>46.395148800000001</v>
      </c>
      <c r="O161" s="112">
        <v>51.688000000000002</v>
      </c>
    </row>
    <row r="162" spans="1:15">
      <c r="A162" s="63" t="s">
        <v>60</v>
      </c>
      <c r="B162" s="63" t="s">
        <v>17</v>
      </c>
      <c r="C162" s="112">
        <v>1375.2211200000002</v>
      </c>
      <c r="D162" s="125">
        <v>0.02</v>
      </c>
      <c r="E162" s="124">
        <v>0.04</v>
      </c>
      <c r="F162" s="119">
        <f t="shared" si="16"/>
        <v>825.13267200000018</v>
      </c>
      <c r="G162" s="5">
        <v>0.39999999999999997</v>
      </c>
      <c r="H162" s="103">
        <f t="shared" si="4"/>
        <v>4.1887400000000001</v>
      </c>
      <c r="I162" s="68">
        <v>1.9</v>
      </c>
      <c r="J162" s="63"/>
      <c r="K162" s="122">
        <f t="shared" si="17"/>
        <v>1210.1945856000002</v>
      </c>
      <c r="O162" s="112">
        <v>1348.2560000000001</v>
      </c>
    </row>
    <row r="163" spans="1:15">
      <c r="A163" s="63" t="s">
        <v>15</v>
      </c>
      <c r="B163" s="63" t="s">
        <v>289</v>
      </c>
      <c r="C163" s="112">
        <v>124.39104000000002</v>
      </c>
      <c r="D163" s="125">
        <v>0.02</v>
      </c>
      <c r="E163" s="124">
        <v>0.03</v>
      </c>
      <c r="F163" s="119">
        <f t="shared" si="16"/>
        <v>68.415072000000009</v>
      </c>
      <c r="G163" s="5">
        <v>0.45</v>
      </c>
      <c r="H163" s="103">
        <f t="shared" si="4"/>
        <v>4.8501200000000004</v>
      </c>
      <c r="I163" s="100">
        <v>2.2000000000000002</v>
      </c>
      <c r="J163" s="63"/>
      <c r="K163" s="122">
        <f t="shared" si="17"/>
        <v>109.46411520000002</v>
      </c>
      <c r="O163" s="112">
        <v>121.95200000000001</v>
      </c>
    </row>
    <row r="164" spans="1:15">
      <c r="A164" s="63" t="s">
        <v>326</v>
      </c>
      <c r="B164" s="63" t="s">
        <v>290</v>
      </c>
      <c r="C164" s="112">
        <v>63.75</v>
      </c>
      <c r="D164" s="125">
        <v>0.02</v>
      </c>
      <c r="E164" s="124">
        <v>0.03</v>
      </c>
      <c r="F164" s="119">
        <f t="shared" si="16"/>
        <v>35.0625</v>
      </c>
      <c r="G164" s="5">
        <v>0.45</v>
      </c>
      <c r="H164" s="103">
        <f t="shared" si="4"/>
        <v>7.0547200000000005</v>
      </c>
      <c r="I164" s="100">
        <v>3.2</v>
      </c>
      <c r="J164" s="63"/>
      <c r="K164" s="122">
        <f t="shared" si="17"/>
        <v>56.1</v>
      </c>
      <c r="O164" s="112">
        <v>62.5</v>
      </c>
    </row>
    <row r="165" spans="1:15">
      <c r="A165" s="63" t="s">
        <v>57</v>
      </c>
      <c r="B165" s="63" t="s">
        <v>41</v>
      </c>
      <c r="C165" s="112">
        <v>2126.4796800000004</v>
      </c>
      <c r="D165" s="125">
        <v>0.02</v>
      </c>
      <c r="E165" s="124">
        <v>0.04</v>
      </c>
      <c r="F165" s="119">
        <f t="shared" si="16"/>
        <v>1275.8878080000002</v>
      </c>
      <c r="G165" s="5">
        <v>0.4</v>
      </c>
      <c r="H165" s="103">
        <f t="shared" si="4"/>
        <v>5.7319600000000008</v>
      </c>
      <c r="I165" s="68">
        <v>2.6</v>
      </c>
      <c r="J165" s="63"/>
      <c r="K165" s="122">
        <f t="shared" si="17"/>
        <v>1871.3021184000004</v>
      </c>
      <c r="O165" s="112">
        <v>2084.7840000000001</v>
      </c>
    </row>
    <row r="166" spans="1:15">
      <c r="A166" s="23" t="s">
        <v>250</v>
      </c>
      <c r="B166" s="61" t="s">
        <v>251</v>
      </c>
      <c r="C166" s="114">
        <v>169.983</v>
      </c>
      <c r="D166" s="125">
        <v>0.02</v>
      </c>
      <c r="E166" s="124">
        <v>0.04</v>
      </c>
      <c r="F166" s="119">
        <f t="shared" si="16"/>
        <v>101.98979999999997</v>
      </c>
      <c r="G166" s="5">
        <v>0.40000000000000008</v>
      </c>
      <c r="H166" s="100">
        <v>1</v>
      </c>
      <c r="I166" s="100">
        <v>1</v>
      </c>
      <c r="J166" s="63"/>
      <c r="K166" s="122">
        <f t="shared" si="17"/>
        <v>149.58503999999999</v>
      </c>
      <c r="O166" s="114">
        <v>166.65</v>
      </c>
    </row>
    <row r="167" spans="1:15">
      <c r="A167" s="23" t="s">
        <v>252</v>
      </c>
      <c r="B167" s="61" t="s">
        <v>253</v>
      </c>
      <c r="C167" s="114">
        <v>169.983</v>
      </c>
      <c r="D167" s="125">
        <v>0.02</v>
      </c>
      <c r="E167" s="124">
        <v>0.04</v>
      </c>
      <c r="F167" s="119">
        <f t="shared" si="16"/>
        <v>101.98979999999997</v>
      </c>
      <c r="G167" s="5">
        <v>0.40000000000000008</v>
      </c>
      <c r="H167" s="100">
        <v>1</v>
      </c>
      <c r="I167" s="100">
        <v>1</v>
      </c>
      <c r="J167" s="63"/>
      <c r="K167" s="122">
        <f t="shared" si="17"/>
        <v>149.58503999999999</v>
      </c>
      <c r="O167" s="114">
        <v>166.65</v>
      </c>
    </row>
    <row r="168" spans="1:15">
      <c r="A168" s="23" t="s">
        <v>305</v>
      </c>
      <c r="B168" s="61" t="s">
        <v>306</v>
      </c>
      <c r="C168" s="114">
        <v>169.983</v>
      </c>
      <c r="D168" s="125">
        <v>0.02</v>
      </c>
      <c r="E168" s="124">
        <v>0.04</v>
      </c>
      <c r="F168" s="119">
        <f t="shared" si="16"/>
        <v>101.98979999999997</v>
      </c>
      <c r="G168" s="5">
        <v>0.40000000000000008</v>
      </c>
      <c r="H168" s="6">
        <v>1</v>
      </c>
      <c r="I168" s="68">
        <v>0.5</v>
      </c>
      <c r="J168" s="68"/>
      <c r="K168" s="122">
        <f t="shared" si="17"/>
        <v>149.58503999999999</v>
      </c>
      <c r="O168" s="114">
        <v>166.65</v>
      </c>
    </row>
    <row r="169" spans="1:15">
      <c r="A169" s="63" t="s">
        <v>326</v>
      </c>
      <c r="B169" s="63" t="s">
        <v>290</v>
      </c>
      <c r="C169" s="112">
        <v>63.754080000000009</v>
      </c>
      <c r="D169" s="125">
        <v>0.02</v>
      </c>
      <c r="E169" s="124">
        <v>0.04</v>
      </c>
      <c r="F169" s="119">
        <f t="shared" si="16"/>
        <v>35.064744000000005</v>
      </c>
      <c r="G169" s="5">
        <v>0.45</v>
      </c>
      <c r="H169" s="103">
        <f t="shared" ref="H169" si="19">I169*2.2046</f>
        <v>7.0547200000000005</v>
      </c>
      <c r="I169" s="100">
        <v>3.2</v>
      </c>
      <c r="J169" s="63"/>
      <c r="K169" s="122">
        <f t="shared" si="17"/>
        <v>56.103590400000009</v>
      </c>
      <c r="O169" s="112">
        <v>62.504000000000005</v>
      </c>
    </row>
    <row r="170" spans="1:15">
      <c r="A170" s="63" t="s">
        <v>66</v>
      </c>
      <c r="B170" s="63" t="s">
        <v>504</v>
      </c>
      <c r="C170" s="112">
        <v>817.55856000000006</v>
      </c>
      <c r="D170" s="125">
        <v>0.02</v>
      </c>
      <c r="E170" s="124">
        <v>0.04</v>
      </c>
      <c r="F170" s="119">
        <f t="shared" si="16"/>
        <v>490.53513599999991</v>
      </c>
      <c r="G170" s="5">
        <v>0.40000000000000008</v>
      </c>
      <c r="H170" s="103">
        <f t="shared" si="4"/>
        <v>3.5273600000000003</v>
      </c>
      <c r="I170" s="68">
        <v>1.6</v>
      </c>
      <c r="J170" s="63"/>
      <c r="K170" s="122">
        <f t="shared" si="17"/>
        <v>719.45153280000011</v>
      </c>
      <c r="O170" s="112">
        <v>801.52800000000002</v>
      </c>
    </row>
    <row r="171" spans="1:15">
      <c r="A171" s="63" t="s">
        <v>334</v>
      </c>
      <c r="B171" s="63" t="s">
        <v>12</v>
      </c>
      <c r="C171" s="112">
        <v>27.52572</v>
      </c>
      <c r="D171" s="125">
        <v>0.02</v>
      </c>
      <c r="E171" s="124">
        <v>0.03</v>
      </c>
      <c r="F171" s="119">
        <f t="shared" ref="F171:F175" si="20">C171*(1-G171)</f>
        <v>15.139146</v>
      </c>
      <c r="G171" s="5">
        <v>0.45</v>
      </c>
      <c r="H171" s="103">
        <v>1</v>
      </c>
      <c r="I171" s="100">
        <v>0.5</v>
      </c>
      <c r="J171" s="63"/>
      <c r="K171" s="122">
        <f t="shared" si="17"/>
        <v>24.222633599999998</v>
      </c>
      <c r="O171" s="112">
        <v>26.986000000000001</v>
      </c>
    </row>
    <row r="172" spans="1:15">
      <c r="A172" s="63" t="s">
        <v>335</v>
      </c>
      <c r="B172" s="63" t="s">
        <v>14</v>
      </c>
      <c r="C172" s="112">
        <v>27.52572</v>
      </c>
      <c r="D172" s="125">
        <v>0.02</v>
      </c>
      <c r="E172" s="124">
        <v>0.03</v>
      </c>
      <c r="F172" s="119">
        <f t="shared" si="20"/>
        <v>15.139146</v>
      </c>
      <c r="G172" s="5">
        <v>0.45</v>
      </c>
      <c r="H172" s="103">
        <v>1</v>
      </c>
      <c r="I172" s="100">
        <v>0.5</v>
      </c>
      <c r="J172" s="63"/>
      <c r="K172" s="122">
        <f t="shared" si="17"/>
        <v>24.222633599999998</v>
      </c>
      <c r="O172" s="112">
        <v>26.986000000000001</v>
      </c>
    </row>
    <row r="173" spans="1:15">
      <c r="A173" s="63" t="s">
        <v>58</v>
      </c>
      <c r="B173" s="63" t="s">
        <v>503</v>
      </c>
      <c r="C173" s="112">
        <v>1773.5515200000002</v>
      </c>
      <c r="D173" s="125">
        <v>0.02</v>
      </c>
      <c r="E173" s="124">
        <v>0.04</v>
      </c>
      <c r="F173" s="119">
        <f t="shared" si="20"/>
        <v>1064.1309120000003</v>
      </c>
      <c r="G173" s="5">
        <v>0.39999999999999997</v>
      </c>
      <c r="H173" s="103">
        <f t="shared" si="4"/>
        <v>3.5273600000000003</v>
      </c>
      <c r="I173" s="68">
        <v>1.6</v>
      </c>
      <c r="J173" s="63"/>
      <c r="K173" s="122">
        <f t="shared" si="17"/>
        <v>1560.7253376000001</v>
      </c>
      <c r="O173" s="112">
        <v>1738.7760000000001</v>
      </c>
    </row>
    <row r="174" spans="1:15">
      <c r="A174" s="63" t="s">
        <v>59</v>
      </c>
      <c r="B174" s="63" t="s">
        <v>417</v>
      </c>
      <c r="C174" s="112">
        <v>1911.9859200000001</v>
      </c>
      <c r="D174" s="125">
        <v>0.02</v>
      </c>
      <c r="E174" s="124">
        <v>0.04</v>
      </c>
      <c r="F174" s="119">
        <f t="shared" si="20"/>
        <v>1147.191552</v>
      </c>
      <c r="G174" s="5">
        <v>0.4</v>
      </c>
      <c r="H174" s="103">
        <f t="shared" si="4"/>
        <v>3.9682800000000005</v>
      </c>
      <c r="I174" s="68">
        <v>1.8</v>
      </c>
      <c r="J174" s="63"/>
      <c r="K174" s="122">
        <f t="shared" si="17"/>
        <v>1682.5476096</v>
      </c>
      <c r="O174" s="112">
        <v>1874.4960000000001</v>
      </c>
    </row>
    <row r="175" spans="1:15">
      <c r="A175" s="63" t="s">
        <v>109</v>
      </c>
      <c r="B175" s="63" t="s">
        <v>110</v>
      </c>
      <c r="C175" s="112">
        <v>1459.7668800000001</v>
      </c>
      <c r="D175" s="125">
        <v>0.02</v>
      </c>
      <c r="E175" s="124">
        <v>0.04</v>
      </c>
      <c r="F175" s="119">
        <f t="shared" si="20"/>
        <v>875.86012800000003</v>
      </c>
      <c r="G175" s="5">
        <v>0.4</v>
      </c>
      <c r="H175" s="103">
        <f t="shared" si="4"/>
        <v>3.9682800000000005</v>
      </c>
      <c r="I175" s="68">
        <v>1.8</v>
      </c>
      <c r="K175" s="122">
        <f t="shared" si="17"/>
        <v>1284.5948544</v>
      </c>
      <c r="O175" s="112">
        <v>1431.144</v>
      </c>
    </row>
    <row r="176" spans="1:15">
      <c r="A176" s="63"/>
      <c r="B176" s="63"/>
      <c r="C176" s="112"/>
      <c r="D176" s="126"/>
      <c r="E176" s="124"/>
      <c r="F176" s="119"/>
      <c r="G176" s="5"/>
      <c r="H176" s="103"/>
      <c r="I176" s="68"/>
      <c r="J176" s="63"/>
      <c r="K176" s="122"/>
      <c r="O176" s="112"/>
    </row>
    <row r="177" spans="1:15">
      <c r="A177" s="63"/>
      <c r="B177" s="63"/>
      <c r="C177" s="112"/>
      <c r="D177" s="126"/>
      <c r="E177" s="124"/>
      <c r="F177" s="119"/>
      <c r="G177" s="5"/>
      <c r="H177" s="103"/>
      <c r="I177" s="68"/>
      <c r="J177" s="63"/>
      <c r="K177" s="122"/>
      <c r="O177" s="112"/>
    </row>
    <row r="178" spans="1:15" ht="18.75">
      <c r="A178" s="79" t="s">
        <v>461</v>
      </c>
      <c r="B178" s="63"/>
      <c r="C178" s="112"/>
      <c r="D178" s="126"/>
      <c r="E178" s="124"/>
      <c r="F178" s="119"/>
      <c r="G178" s="5"/>
      <c r="H178" s="103"/>
      <c r="I178" s="68"/>
      <c r="J178" s="63"/>
      <c r="K178" s="122"/>
      <c r="O178" s="112"/>
    </row>
    <row r="179" spans="1:15">
      <c r="A179" s="64" t="s">
        <v>462</v>
      </c>
      <c r="B179" s="64" t="s">
        <v>463</v>
      </c>
      <c r="C179" s="112">
        <v>6786.7862400000004</v>
      </c>
      <c r="D179" s="125">
        <v>0.02</v>
      </c>
      <c r="E179" s="124">
        <v>0.04</v>
      </c>
      <c r="F179" s="119">
        <f t="shared" ref="F179:F210" si="21">C179*(1-G179)</f>
        <v>4072.0717439999999</v>
      </c>
      <c r="G179" s="5">
        <v>0.4</v>
      </c>
      <c r="H179" s="103">
        <f t="shared" si="4"/>
        <v>123.45760000000001</v>
      </c>
      <c r="I179" s="68">
        <v>56</v>
      </c>
      <c r="J179" s="63"/>
      <c r="K179" s="122">
        <f t="shared" ref="K179:K210" si="22">C179*0.88</f>
        <v>5972.3718912000004</v>
      </c>
      <c r="O179" s="112">
        <v>6653.7120000000004</v>
      </c>
    </row>
    <row r="180" spans="1:15">
      <c r="A180" s="64" t="s">
        <v>464</v>
      </c>
      <c r="B180" s="64" t="s">
        <v>465</v>
      </c>
      <c r="C180" s="112">
        <v>6786.7862400000004</v>
      </c>
      <c r="D180" s="125">
        <v>0.02</v>
      </c>
      <c r="E180" s="124">
        <v>0.04</v>
      </c>
      <c r="F180" s="119">
        <f t="shared" si="21"/>
        <v>4072.0717439999999</v>
      </c>
      <c r="G180" s="5">
        <v>0.4</v>
      </c>
      <c r="H180" s="103">
        <f t="shared" si="4"/>
        <v>123.45760000000001</v>
      </c>
      <c r="I180" s="68">
        <v>56</v>
      </c>
      <c r="J180" s="63"/>
      <c r="K180" s="122">
        <f t="shared" si="22"/>
        <v>5972.3718912000004</v>
      </c>
      <c r="O180" s="112">
        <v>6653.7120000000004</v>
      </c>
    </row>
    <row r="181" spans="1:15">
      <c r="A181" s="64" t="s">
        <v>466</v>
      </c>
      <c r="B181" s="64" t="s">
        <v>467</v>
      </c>
      <c r="C181" s="112">
        <v>9933.6494399999992</v>
      </c>
      <c r="D181" s="125">
        <v>0.02</v>
      </c>
      <c r="E181" s="124">
        <v>0.04</v>
      </c>
      <c r="F181" s="119">
        <f t="shared" si="21"/>
        <v>5960.1896639999995</v>
      </c>
      <c r="G181" s="5">
        <v>0.4</v>
      </c>
      <c r="H181" s="103">
        <f t="shared" si="4"/>
        <v>169.7542</v>
      </c>
      <c r="I181" s="68">
        <v>77</v>
      </c>
      <c r="J181" s="63"/>
      <c r="K181" s="122">
        <f t="shared" si="22"/>
        <v>8741.6115071999993</v>
      </c>
      <c r="O181" s="112">
        <v>9738.8719999999994</v>
      </c>
    </row>
    <row r="182" spans="1:15">
      <c r="A182" s="64" t="s">
        <v>468</v>
      </c>
      <c r="B182" s="64" t="s">
        <v>469</v>
      </c>
      <c r="C182" s="112">
        <v>9933.6494399999992</v>
      </c>
      <c r="D182" s="125">
        <v>0.02</v>
      </c>
      <c r="E182" s="124">
        <v>0.04</v>
      </c>
      <c r="F182" s="119">
        <f t="shared" si="21"/>
        <v>5960.1896639999995</v>
      </c>
      <c r="G182" s="5">
        <v>0.4</v>
      </c>
      <c r="H182" s="103">
        <f t="shared" si="4"/>
        <v>169.7542</v>
      </c>
      <c r="I182" s="68">
        <v>77</v>
      </c>
      <c r="J182" s="63"/>
      <c r="K182" s="122">
        <f t="shared" si="22"/>
        <v>8741.6115071999993</v>
      </c>
      <c r="O182" s="112">
        <v>9738.8719999999994</v>
      </c>
    </row>
    <row r="183" spans="1:15">
      <c r="A183" s="77" t="s">
        <v>419</v>
      </c>
      <c r="B183" s="77" t="s">
        <v>420</v>
      </c>
      <c r="C183" s="116">
        <v>2970.2400000000002</v>
      </c>
      <c r="D183" s="125">
        <v>0.02</v>
      </c>
      <c r="E183" s="124">
        <v>0.04</v>
      </c>
      <c r="F183" s="120">
        <f t="shared" si="21"/>
        <v>1782.144</v>
      </c>
      <c r="G183" s="71">
        <v>0.4</v>
      </c>
      <c r="H183" s="103">
        <f t="shared" si="4"/>
        <v>7.0547200000000005</v>
      </c>
      <c r="I183" s="100">
        <v>3.2</v>
      </c>
      <c r="J183" s="63"/>
      <c r="K183" s="122">
        <f t="shared" si="22"/>
        <v>2613.8112000000001</v>
      </c>
      <c r="O183" s="116">
        <v>2912</v>
      </c>
    </row>
    <row r="184" spans="1:15">
      <c r="A184" s="63" t="s">
        <v>421</v>
      </c>
      <c r="B184" s="63" t="s">
        <v>422</v>
      </c>
      <c r="C184" s="112">
        <v>1819.2720000000002</v>
      </c>
      <c r="D184" s="125">
        <v>0.02</v>
      </c>
      <c r="E184" s="124">
        <v>0.04</v>
      </c>
      <c r="F184" s="119">
        <f t="shared" si="21"/>
        <v>1091.5632000000001</v>
      </c>
      <c r="G184" s="5">
        <v>0.4</v>
      </c>
      <c r="H184" s="103">
        <f t="shared" si="4"/>
        <v>4.8501200000000004</v>
      </c>
      <c r="I184" s="100">
        <v>2.2000000000000002</v>
      </c>
      <c r="J184" s="63"/>
      <c r="K184" s="122">
        <f t="shared" si="22"/>
        <v>1600.9593600000001</v>
      </c>
      <c r="O184" s="112">
        <v>1783.6000000000001</v>
      </c>
    </row>
    <row r="185" spans="1:15">
      <c r="A185" s="63" t="s">
        <v>423</v>
      </c>
      <c r="B185" s="63" t="s">
        <v>424</v>
      </c>
      <c r="C185" s="112">
        <v>772.26240000000007</v>
      </c>
      <c r="D185" s="125">
        <v>0.02</v>
      </c>
      <c r="E185" s="124">
        <v>0.04</v>
      </c>
      <c r="F185" s="119">
        <f t="shared" si="21"/>
        <v>463.35744</v>
      </c>
      <c r="G185" s="5">
        <v>0.4</v>
      </c>
      <c r="H185" s="103">
        <f t="shared" si="4"/>
        <v>2.2046000000000001</v>
      </c>
      <c r="I185" s="68">
        <v>1</v>
      </c>
      <c r="J185" s="63"/>
      <c r="K185" s="122">
        <f t="shared" si="22"/>
        <v>679.59091200000012</v>
      </c>
      <c r="O185" s="112">
        <v>757.12</v>
      </c>
    </row>
    <row r="186" spans="1:15">
      <c r="A186" s="63" t="s">
        <v>425</v>
      </c>
      <c r="B186" s="63" t="s">
        <v>426</v>
      </c>
      <c r="C186" s="112">
        <v>159.12</v>
      </c>
      <c r="D186" s="125">
        <v>0.02</v>
      </c>
      <c r="E186" s="124">
        <v>0.04</v>
      </c>
      <c r="F186" s="119">
        <f t="shared" si="21"/>
        <v>95.471999999999994</v>
      </c>
      <c r="G186" s="5">
        <v>0.4</v>
      </c>
      <c r="H186" s="103">
        <v>1</v>
      </c>
      <c r="I186" s="68">
        <v>0.5</v>
      </c>
      <c r="J186" s="63"/>
      <c r="K186" s="122">
        <f t="shared" si="22"/>
        <v>140.0256</v>
      </c>
      <c r="O186" s="112">
        <v>156</v>
      </c>
    </row>
    <row r="187" spans="1:15">
      <c r="A187" s="63" t="s">
        <v>427</v>
      </c>
      <c r="B187" s="63" t="s">
        <v>428</v>
      </c>
      <c r="C187" s="112">
        <v>270.50400000000002</v>
      </c>
      <c r="D187" s="125">
        <v>0.02</v>
      </c>
      <c r="E187" s="124">
        <v>0.04</v>
      </c>
      <c r="F187" s="119">
        <f t="shared" si="21"/>
        <v>162.30239999999998</v>
      </c>
      <c r="G187" s="5">
        <v>0.40000000000000008</v>
      </c>
      <c r="H187" s="103">
        <f t="shared" ref="H187:H201" si="23">I187*2.2046</f>
        <v>2.2046000000000001</v>
      </c>
      <c r="I187" s="68">
        <v>1</v>
      </c>
      <c r="J187" s="63"/>
      <c r="K187" s="122">
        <f t="shared" si="22"/>
        <v>238.04352000000003</v>
      </c>
      <c r="O187" s="112">
        <v>265.2</v>
      </c>
    </row>
    <row r="188" spans="1:15">
      <c r="A188" s="63" t="s">
        <v>429</v>
      </c>
      <c r="B188" s="63" t="s">
        <v>430</v>
      </c>
      <c r="C188" s="112">
        <v>270.50400000000002</v>
      </c>
      <c r="D188" s="125">
        <v>0.02</v>
      </c>
      <c r="E188" s="124">
        <v>0.04</v>
      </c>
      <c r="F188" s="119">
        <f t="shared" si="21"/>
        <v>162.30240000000001</v>
      </c>
      <c r="G188" s="5">
        <v>0.4</v>
      </c>
      <c r="H188" s="103">
        <f t="shared" si="23"/>
        <v>2.2046000000000001</v>
      </c>
      <c r="I188" s="68">
        <v>1</v>
      </c>
      <c r="J188" s="63"/>
      <c r="K188" s="122">
        <f t="shared" si="22"/>
        <v>238.04352000000003</v>
      </c>
      <c r="O188" s="112">
        <v>265.2</v>
      </c>
    </row>
    <row r="189" spans="1:15">
      <c r="A189" s="63" t="s">
        <v>431</v>
      </c>
      <c r="B189" s="63" t="s">
        <v>432</v>
      </c>
      <c r="C189" s="112">
        <v>270.50400000000002</v>
      </c>
      <c r="D189" s="125">
        <v>0.02</v>
      </c>
      <c r="E189" s="124">
        <v>0.04</v>
      </c>
      <c r="F189" s="119">
        <f t="shared" si="21"/>
        <v>162.30240000000001</v>
      </c>
      <c r="G189" s="5">
        <v>0.4</v>
      </c>
      <c r="H189" s="103">
        <f t="shared" si="23"/>
        <v>2.2046000000000001</v>
      </c>
      <c r="I189" s="68">
        <v>1</v>
      </c>
      <c r="J189" s="63"/>
      <c r="K189" s="122">
        <f t="shared" si="22"/>
        <v>238.04352000000003</v>
      </c>
      <c r="O189" s="112">
        <v>265.2</v>
      </c>
    </row>
    <row r="190" spans="1:15">
      <c r="A190" s="63" t="s">
        <v>433</v>
      </c>
      <c r="B190" s="63" t="s">
        <v>434</v>
      </c>
      <c r="C190" s="112">
        <v>270.50400000000002</v>
      </c>
      <c r="D190" s="125">
        <v>0.02</v>
      </c>
      <c r="E190" s="124">
        <v>0.04</v>
      </c>
      <c r="F190" s="119">
        <f t="shared" si="21"/>
        <v>162.30240000000001</v>
      </c>
      <c r="G190" s="5">
        <v>0.4</v>
      </c>
      <c r="H190" s="103">
        <f t="shared" si="23"/>
        <v>2.2046000000000001</v>
      </c>
      <c r="I190" s="68">
        <v>1</v>
      </c>
      <c r="J190" s="63"/>
      <c r="K190" s="122">
        <f t="shared" si="22"/>
        <v>238.04352000000003</v>
      </c>
      <c r="O190" s="112">
        <v>265.2</v>
      </c>
    </row>
    <row r="191" spans="1:15">
      <c r="A191" s="63" t="s">
        <v>435</v>
      </c>
      <c r="B191" s="63" t="s">
        <v>436</v>
      </c>
      <c r="C191" s="112">
        <v>270.50400000000002</v>
      </c>
      <c r="D191" s="125">
        <v>0.02</v>
      </c>
      <c r="E191" s="124">
        <v>0.04</v>
      </c>
      <c r="F191" s="119">
        <f t="shared" si="21"/>
        <v>162.30240000000001</v>
      </c>
      <c r="G191" s="5">
        <v>0.4</v>
      </c>
      <c r="H191" s="103">
        <f t="shared" si="23"/>
        <v>2.2046000000000001</v>
      </c>
      <c r="I191" s="68">
        <v>1</v>
      </c>
      <c r="J191" s="63"/>
      <c r="K191" s="122">
        <f t="shared" si="22"/>
        <v>238.04352000000003</v>
      </c>
      <c r="O191" s="112">
        <v>265.2</v>
      </c>
    </row>
    <row r="192" spans="1:15">
      <c r="A192" s="63" t="s">
        <v>437</v>
      </c>
      <c r="B192" s="63" t="s">
        <v>438</v>
      </c>
      <c r="C192" s="112">
        <v>270.50400000000002</v>
      </c>
      <c r="D192" s="125">
        <v>0.02</v>
      </c>
      <c r="E192" s="124">
        <v>0.04</v>
      </c>
      <c r="F192" s="119">
        <f t="shared" si="21"/>
        <v>162.30240000000001</v>
      </c>
      <c r="G192" s="5">
        <v>0.4</v>
      </c>
      <c r="H192" s="103">
        <f t="shared" si="23"/>
        <v>2.2046000000000001</v>
      </c>
      <c r="I192" s="68">
        <v>1</v>
      </c>
      <c r="J192" s="63"/>
      <c r="K192" s="122">
        <f t="shared" si="22"/>
        <v>238.04352000000003</v>
      </c>
      <c r="O192" s="112">
        <v>265.2</v>
      </c>
    </row>
    <row r="193" spans="1:15">
      <c r="A193" s="63" t="s">
        <v>439</v>
      </c>
      <c r="B193" s="63" t="s">
        <v>440</v>
      </c>
      <c r="C193" s="112">
        <v>416.16</v>
      </c>
      <c r="D193" s="125">
        <v>0.02</v>
      </c>
      <c r="E193" s="124">
        <v>0.6</v>
      </c>
      <c r="F193" s="119">
        <f t="shared" si="21"/>
        <v>249.696</v>
      </c>
      <c r="G193" s="5">
        <v>0.4</v>
      </c>
      <c r="H193" s="103">
        <f t="shared" si="23"/>
        <v>2.2046000000000001</v>
      </c>
      <c r="I193" s="68">
        <v>1</v>
      </c>
      <c r="J193" s="63"/>
      <c r="K193" s="122">
        <f t="shared" si="22"/>
        <v>366.2208</v>
      </c>
      <c r="O193" s="112">
        <v>408</v>
      </c>
    </row>
    <row r="194" spans="1:15">
      <c r="A194" s="63" t="s">
        <v>441</v>
      </c>
      <c r="B194" s="63" t="s">
        <v>442</v>
      </c>
      <c r="C194" s="112">
        <v>270.50400000000002</v>
      </c>
      <c r="D194" s="125">
        <v>0.02</v>
      </c>
      <c r="E194" s="124">
        <v>0.04</v>
      </c>
      <c r="F194" s="119">
        <f t="shared" si="21"/>
        <v>162.30240000000001</v>
      </c>
      <c r="G194" s="5">
        <v>0.4</v>
      </c>
      <c r="H194" s="103">
        <f t="shared" si="23"/>
        <v>2.2046000000000001</v>
      </c>
      <c r="I194" s="68">
        <v>1</v>
      </c>
      <c r="J194" s="63"/>
      <c r="K194" s="122">
        <f t="shared" si="22"/>
        <v>238.04352000000003</v>
      </c>
      <c r="O194" s="112">
        <v>265.2</v>
      </c>
    </row>
    <row r="195" spans="1:15">
      <c r="A195" s="63" t="s">
        <v>443</v>
      </c>
      <c r="B195" s="63" t="s">
        <v>444</v>
      </c>
      <c r="C195" s="112">
        <v>270.50400000000002</v>
      </c>
      <c r="D195" s="125">
        <v>0.02</v>
      </c>
      <c r="E195" s="124">
        <v>0.04</v>
      </c>
      <c r="F195" s="119">
        <f t="shared" si="21"/>
        <v>162.30240000000001</v>
      </c>
      <c r="G195" s="5">
        <v>0.4</v>
      </c>
      <c r="H195" s="103">
        <f t="shared" si="23"/>
        <v>2.2046000000000001</v>
      </c>
      <c r="I195" s="68">
        <v>1</v>
      </c>
      <c r="J195" s="63"/>
      <c r="K195" s="122">
        <f t="shared" si="22"/>
        <v>238.04352000000003</v>
      </c>
      <c r="O195" s="112">
        <v>265.2</v>
      </c>
    </row>
    <row r="196" spans="1:15">
      <c r="A196" s="63" t="s">
        <v>445</v>
      </c>
      <c r="B196" s="63" t="s">
        <v>446</v>
      </c>
      <c r="C196" s="112">
        <v>270.50400000000002</v>
      </c>
      <c r="D196" s="125">
        <v>0.02</v>
      </c>
      <c r="E196" s="124">
        <v>0.04</v>
      </c>
      <c r="F196" s="119">
        <f t="shared" si="21"/>
        <v>162.30240000000001</v>
      </c>
      <c r="G196" s="5">
        <v>0.4</v>
      </c>
      <c r="H196" s="103">
        <f t="shared" si="23"/>
        <v>2.2046000000000001</v>
      </c>
      <c r="I196" s="68">
        <v>1</v>
      </c>
      <c r="J196" s="63"/>
      <c r="K196" s="122">
        <f t="shared" si="22"/>
        <v>238.04352000000003</v>
      </c>
      <c r="O196" s="112">
        <v>265.2</v>
      </c>
    </row>
    <row r="197" spans="1:15">
      <c r="A197" s="63" t="s">
        <v>447</v>
      </c>
      <c r="B197" s="63" t="s">
        <v>448</v>
      </c>
      <c r="C197" s="112">
        <v>270.50400000000002</v>
      </c>
      <c r="D197" s="125">
        <v>0.02</v>
      </c>
      <c r="E197" s="124">
        <v>0.04</v>
      </c>
      <c r="F197" s="119">
        <f t="shared" si="21"/>
        <v>162.30240000000001</v>
      </c>
      <c r="G197" s="5">
        <v>0.4</v>
      </c>
      <c r="H197" s="103">
        <f t="shared" si="23"/>
        <v>2.2046000000000001</v>
      </c>
      <c r="I197" s="68">
        <v>1</v>
      </c>
      <c r="J197" s="63"/>
      <c r="K197" s="122">
        <f t="shared" si="22"/>
        <v>238.04352000000003</v>
      </c>
      <c r="O197" s="112">
        <v>265.2</v>
      </c>
    </row>
    <row r="198" spans="1:15">
      <c r="A198" s="63" t="s">
        <v>449</v>
      </c>
      <c r="B198" s="63" t="s">
        <v>450</v>
      </c>
      <c r="C198" s="112">
        <v>270.50400000000002</v>
      </c>
      <c r="D198" s="125">
        <v>0.02</v>
      </c>
      <c r="E198" s="124">
        <v>0.04</v>
      </c>
      <c r="F198" s="119">
        <f t="shared" si="21"/>
        <v>162.30240000000001</v>
      </c>
      <c r="G198" s="5">
        <v>0.4</v>
      </c>
      <c r="H198" s="103">
        <f t="shared" si="23"/>
        <v>2.2046000000000001</v>
      </c>
      <c r="I198" s="68">
        <v>1</v>
      </c>
      <c r="J198" s="63"/>
      <c r="K198" s="122">
        <f t="shared" si="22"/>
        <v>238.04352000000003</v>
      </c>
      <c r="O198" s="112">
        <v>265.2</v>
      </c>
    </row>
    <row r="199" spans="1:15">
      <c r="A199" s="63" t="s">
        <v>451</v>
      </c>
      <c r="B199" s="63" t="s">
        <v>452</v>
      </c>
      <c r="C199" s="112">
        <v>270.50400000000002</v>
      </c>
      <c r="D199" s="125">
        <v>0.02</v>
      </c>
      <c r="E199" s="124">
        <v>0.04</v>
      </c>
      <c r="F199" s="119">
        <f t="shared" si="21"/>
        <v>162.30240000000001</v>
      </c>
      <c r="G199" s="5">
        <v>0.4</v>
      </c>
      <c r="H199" s="103">
        <f t="shared" si="23"/>
        <v>2.2046000000000001</v>
      </c>
      <c r="I199" s="68">
        <v>1</v>
      </c>
      <c r="J199" s="63"/>
      <c r="K199" s="122">
        <f t="shared" si="22"/>
        <v>238.04352000000003</v>
      </c>
      <c r="O199" s="112">
        <v>265.2</v>
      </c>
    </row>
    <row r="200" spans="1:15">
      <c r="A200" s="63" t="s">
        <v>453</v>
      </c>
      <c r="B200" s="63" t="s">
        <v>454</v>
      </c>
      <c r="C200" s="112">
        <v>270.50400000000002</v>
      </c>
      <c r="D200" s="125">
        <v>0.02</v>
      </c>
      <c r="E200" s="124">
        <v>0.04</v>
      </c>
      <c r="F200" s="119">
        <f t="shared" si="21"/>
        <v>162.30240000000001</v>
      </c>
      <c r="G200" s="5">
        <v>0.4</v>
      </c>
      <c r="H200" s="103">
        <f t="shared" si="23"/>
        <v>2.2046000000000001</v>
      </c>
      <c r="I200" s="68">
        <v>1</v>
      </c>
      <c r="J200" s="63"/>
      <c r="K200" s="122">
        <f t="shared" si="22"/>
        <v>238.04352000000003</v>
      </c>
      <c r="O200" s="112">
        <v>265.2</v>
      </c>
    </row>
    <row r="201" spans="1:15" s="70" customFormat="1">
      <c r="A201" s="63" t="s">
        <v>455</v>
      </c>
      <c r="B201" s="63" t="s">
        <v>511</v>
      </c>
      <c r="C201" s="112">
        <v>270.50400000000002</v>
      </c>
      <c r="D201" s="125">
        <v>0.02</v>
      </c>
      <c r="E201" s="124">
        <v>0.04</v>
      </c>
      <c r="F201" s="119">
        <f t="shared" si="21"/>
        <v>162.30240000000001</v>
      </c>
      <c r="G201" s="5">
        <v>0.4</v>
      </c>
      <c r="H201" s="103">
        <f t="shared" si="23"/>
        <v>2.2046000000000001</v>
      </c>
      <c r="I201" s="68">
        <v>1</v>
      </c>
      <c r="J201" s="63"/>
      <c r="K201" s="122">
        <f t="shared" si="22"/>
        <v>238.04352000000003</v>
      </c>
      <c r="O201" s="112">
        <v>265.2</v>
      </c>
    </row>
    <row r="202" spans="1:15" ht="30">
      <c r="A202" s="77" t="s">
        <v>311</v>
      </c>
      <c r="B202" s="78" t="s">
        <v>312</v>
      </c>
      <c r="C202" s="116">
        <v>235.72200000000001</v>
      </c>
      <c r="D202" s="125">
        <v>0.02</v>
      </c>
      <c r="E202" s="124">
        <v>0</v>
      </c>
      <c r="F202" s="120">
        <f t="shared" si="21"/>
        <v>141.4332</v>
      </c>
      <c r="G202" s="71">
        <v>0.4</v>
      </c>
      <c r="H202" s="103">
        <v>5</v>
      </c>
      <c r="I202" s="100">
        <v>2.5</v>
      </c>
      <c r="J202" s="92"/>
      <c r="K202" s="122">
        <f t="shared" si="22"/>
        <v>207.43536</v>
      </c>
      <c r="O202" s="116">
        <v>231.1</v>
      </c>
    </row>
    <row r="203" spans="1:15">
      <c r="A203" s="63" t="s">
        <v>106</v>
      </c>
      <c r="B203" s="63" t="s">
        <v>192</v>
      </c>
      <c r="C203" s="112">
        <v>1707.3576</v>
      </c>
      <c r="D203" s="125">
        <v>0.02</v>
      </c>
      <c r="E203" s="124">
        <v>0.04</v>
      </c>
      <c r="F203" s="119">
        <f t="shared" si="21"/>
        <v>1024.4145599999999</v>
      </c>
      <c r="G203" s="5">
        <v>0.4</v>
      </c>
      <c r="H203" s="103">
        <f t="shared" si="4"/>
        <v>2.6455199999999999</v>
      </c>
      <c r="I203" s="105">
        <v>1.2</v>
      </c>
      <c r="J203" s="63"/>
      <c r="K203" s="122">
        <f t="shared" si="22"/>
        <v>1502.474688</v>
      </c>
      <c r="O203" s="112">
        <v>1673.88</v>
      </c>
    </row>
    <row r="204" spans="1:15">
      <c r="A204" s="63" t="s">
        <v>346</v>
      </c>
      <c r="B204" s="63" t="s">
        <v>157</v>
      </c>
      <c r="C204" s="112">
        <v>305.19216</v>
      </c>
      <c r="D204" s="125">
        <v>0.02</v>
      </c>
      <c r="E204" s="124">
        <v>0.04</v>
      </c>
      <c r="F204" s="119">
        <f t="shared" si="21"/>
        <v>183.115296</v>
      </c>
      <c r="G204" s="5">
        <v>0.4</v>
      </c>
      <c r="H204" s="103">
        <f t="shared" si="4"/>
        <v>2.2046000000000001</v>
      </c>
      <c r="I204" s="105">
        <v>1</v>
      </c>
      <c r="J204" s="63"/>
      <c r="K204" s="122">
        <f t="shared" si="22"/>
        <v>268.5691008</v>
      </c>
      <c r="O204" s="112">
        <v>299.20799999999997</v>
      </c>
    </row>
    <row r="205" spans="1:15">
      <c r="A205" s="63" t="s">
        <v>347</v>
      </c>
      <c r="B205" s="63" t="s">
        <v>91</v>
      </c>
      <c r="C205" s="112">
        <v>305.19216</v>
      </c>
      <c r="D205" s="125">
        <v>0.02</v>
      </c>
      <c r="E205" s="124">
        <v>0.04</v>
      </c>
      <c r="F205" s="119">
        <f t="shared" si="21"/>
        <v>183.115296</v>
      </c>
      <c r="G205" s="5">
        <v>0.4</v>
      </c>
      <c r="H205" s="103">
        <f t="shared" si="4"/>
        <v>2.2046000000000001</v>
      </c>
      <c r="I205" s="105">
        <v>1</v>
      </c>
      <c r="J205" s="63"/>
      <c r="K205" s="122">
        <f t="shared" si="22"/>
        <v>268.5691008</v>
      </c>
      <c r="O205" s="112">
        <v>299.20799999999997</v>
      </c>
    </row>
    <row r="206" spans="1:15">
      <c r="A206" s="63" t="s">
        <v>348</v>
      </c>
      <c r="B206" s="63" t="s">
        <v>92</v>
      </c>
      <c r="C206" s="112">
        <v>305.19216</v>
      </c>
      <c r="D206" s="125">
        <v>0.02</v>
      </c>
      <c r="E206" s="124">
        <v>0.04</v>
      </c>
      <c r="F206" s="119">
        <f t="shared" si="21"/>
        <v>183.11529599999997</v>
      </c>
      <c r="G206" s="5">
        <v>0.40000000000000008</v>
      </c>
      <c r="H206" s="103">
        <f t="shared" si="4"/>
        <v>2.2046000000000001</v>
      </c>
      <c r="I206" s="105">
        <v>1</v>
      </c>
      <c r="J206" s="63"/>
      <c r="K206" s="122">
        <f t="shared" si="22"/>
        <v>268.5691008</v>
      </c>
      <c r="O206" s="112">
        <v>299.20799999999997</v>
      </c>
    </row>
    <row r="207" spans="1:15">
      <c r="A207" s="63" t="s">
        <v>349</v>
      </c>
      <c r="B207" s="63" t="s">
        <v>501</v>
      </c>
      <c r="C207" s="112">
        <v>305.19216</v>
      </c>
      <c r="D207" s="125">
        <v>0.02</v>
      </c>
      <c r="E207" s="124">
        <v>0.04</v>
      </c>
      <c r="F207" s="119">
        <f t="shared" si="21"/>
        <v>183.115296</v>
      </c>
      <c r="G207" s="5">
        <v>0.4</v>
      </c>
      <c r="H207" s="103">
        <f t="shared" si="4"/>
        <v>2.2046000000000001</v>
      </c>
      <c r="I207" s="105">
        <v>1</v>
      </c>
      <c r="J207" s="63"/>
      <c r="K207" s="122">
        <f t="shared" si="22"/>
        <v>268.5691008</v>
      </c>
      <c r="O207" s="112">
        <v>299.20799999999997</v>
      </c>
    </row>
    <row r="208" spans="1:15">
      <c r="A208" s="63" t="s">
        <v>350</v>
      </c>
      <c r="B208" s="63" t="s">
        <v>160</v>
      </c>
      <c r="C208" s="112">
        <v>305.19216</v>
      </c>
      <c r="D208" s="125">
        <v>0.02</v>
      </c>
      <c r="E208" s="124">
        <v>0.04</v>
      </c>
      <c r="F208" s="119">
        <f t="shared" si="21"/>
        <v>183.115296</v>
      </c>
      <c r="G208" s="5">
        <v>0.4</v>
      </c>
      <c r="H208" s="103">
        <v>1</v>
      </c>
      <c r="I208" s="105">
        <v>0.5</v>
      </c>
      <c r="J208" s="63"/>
      <c r="K208" s="122">
        <f t="shared" si="22"/>
        <v>268.5691008</v>
      </c>
      <c r="O208" s="112">
        <v>299.20799999999997</v>
      </c>
    </row>
    <row r="209" spans="1:15">
      <c r="A209" s="63" t="s">
        <v>351</v>
      </c>
      <c r="B209" s="63" t="s">
        <v>502</v>
      </c>
      <c r="C209" s="112">
        <v>305.19216</v>
      </c>
      <c r="D209" s="125">
        <v>0.02</v>
      </c>
      <c r="E209" s="124">
        <v>0.04</v>
      </c>
      <c r="F209" s="119">
        <f t="shared" si="21"/>
        <v>183.115296</v>
      </c>
      <c r="G209" s="5">
        <v>0.4</v>
      </c>
      <c r="H209" s="103">
        <f t="shared" si="4"/>
        <v>2.2046000000000001</v>
      </c>
      <c r="I209" s="105">
        <v>1</v>
      </c>
      <c r="J209" s="63"/>
      <c r="K209" s="122">
        <f t="shared" si="22"/>
        <v>268.5691008</v>
      </c>
      <c r="O209" s="112">
        <v>299.20799999999997</v>
      </c>
    </row>
    <row r="210" spans="1:15">
      <c r="A210" s="63" t="s">
        <v>352</v>
      </c>
      <c r="B210" s="63" t="s">
        <v>560</v>
      </c>
      <c r="C210" s="112">
        <v>305.19216</v>
      </c>
      <c r="D210" s="125">
        <v>0.02</v>
      </c>
      <c r="E210" s="124">
        <v>0.04</v>
      </c>
      <c r="F210" s="119">
        <f t="shared" si="21"/>
        <v>183.115296</v>
      </c>
      <c r="G210" s="5">
        <v>0.4</v>
      </c>
      <c r="H210" s="103">
        <f t="shared" si="4"/>
        <v>2.2046000000000001</v>
      </c>
      <c r="I210" s="105">
        <v>1</v>
      </c>
      <c r="J210" s="63"/>
      <c r="K210" s="122">
        <f t="shared" si="22"/>
        <v>268.5691008</v>
      </c>
      <c r="O210" s="112">
        <v>299.20799999999997</v>
      </c>
    </row>
    <row r="211" spans="1:15">
      <c r="A211" s="63" t="s">
        <v>353</v>
      </c>
      <c r="B211" s="63" t="s">
        <v>93</v>
      </c>
      <c r="C211" s="112">
        <v>305.19216</v>
      </c>
      <c r="D211" s="125">
        <v>0.02</v>
      </c>
      <c r="E211" s="124">
        <v>0.04</v>
      </c>
      <c r="F211" s="119">
        <f t="shared" ref="F211:F242" si="24">C211*(1-G211)</f>
        <v>183.115296</v>
      </c>
      <c r="G211" s="5">
        <v>0.4</v>
      </c>
      <c r="H211" s="103">
        <f t="shared" si="4"/>
        <v>2.2046000000000001</v>
      </c>
      <c r="I211" s="105">
        <v>1</v>
      </c>
      <c r="J211" s="63"/>
      <c r="K211" s="122">
        <f t="shared" ref="K211:K242" si="25">C211*0.88</f>
        <v>268.5691008</v>
      </c>
      <c r="O211" s="112">
        <v>299.20799999999997</v>
      </c>
    </row>
    <row r="212" spans="1:15">
      <c r="A212" s="63" t="s">
        <v>354</v>
      </c>
      <c r="B212" s="63" t="s">
        <v>94</v>
      </c>
      <c r="C212" s="112">
        <v>305.19216</v>
      </c>
      <c r="D212" s="125">
        <v>0.02</v>
      </c>
      <c r="E212" s="124">
        <v>0.04</v>
      </c>
      <c r="F212" s="119">
        <f t="shared" si="24"/>
        <v>183.115296</v>
      </c>
      <c r="G212" s="5">
        <v>0.4</v>
      </c>
      <c r="H212" s="103">
        <f t="shared" si="4"/>
        <v>2.2046000000000001</v>
      </c>
      <c r="I212" s="105">
        <v>1</v>
      </c>
      <c r="J212" s="63"/>
      <c r="K212" s="122">
        <f t="shared" si="25"/>
        <v>268.5691008</v>
      </c>
      <c r="O212" s="112">
        <v>299.20799999999997</v>
      </c>
    </row>
    <row r="213" spans="1:15">
      <c r="A213" s="63" t="s">
        <v>54</v>
      </c>
      <c r="B213" s="63" t="s">
        <v>193</v>
      </c>
      <c r="C213" s="112">
        <v>2595.8836799999999</v>
      </c>
      <c r="D213" s="125">
        <v>0.02</v>
      </c>
      <c r="E213" s="124">
        <v>0.04</v>
      </c>
      <c r="F213" s="119">
        <f t="shared" si="24"/>
        <v>1557.5302079999999</v>
      </c>
      <c r="G213" s="5">
        <v>0.4</v>
      </c>
      <c r="H213" s="103">
        <f t="shared" si="4"/>
        <v>2.6455199999999999</v>
      </c>
      <c r="I213" s="68">
        <v>1.2</v>
      </c>
      <c r="J213" s="63"/>
      <c r="K213" s="122">
        <f t="shared" si="25"/>
        <v>2284.3776383999998</v>
      </c>
      <c r="O213" s="112">
        <v>2544.9839999999999</v>
      </c>
    </row>
    <row r="214" spans="1:15">
      <c r="A214" s="63" t="s">
        <v>355</v>
      </c>
      <c r="B214" s="63" t="s">
        <v>95</v>
      </c>
      <c r="C214" s="112">
        <v>251.30352000000002</v>
      </c>
      <c r="D214" s="125">
        <v>0.02</v>
      </c>
      <c r="E214" s="124">
        <v>0.04</v>
      </c>
      <c r="F214" s="119">
        <f t="shared" si="24"/>
        <v>150.78211200000001</v>
      </c>
      <c r="G214" s="5">
        <v>0.4</v>
      </c>
      <c r="H214" s="103">
        <f t="shared" si="4"/>
        <v>1.1023000000000001</v>
      </c>
      <c r="I214" s="68">
        <v>0.5</v>
      </c>
      <c r="J214" s="63"/>
      <c r="K214" s="122">
        <f t="shared" si="25"/>
        <v>221.14709760000002</v>
      </c>
      <c r="O214" s="112">
        <v>246.376</v>
      </c>
    </row>
    <row r="215" spans="1:15">
      <c r="A215" s="63" t="s">
        <v>356</v>
      </c>
      <c r="B215" s="63" t="s">
        <v>96</v>
      </c>
      <c r="C215" s="112">
        <v>251.30352000000002</v>
      </c>
      <c r="D215" s="125">
        <v>0.02</v>
      </c>
      <c r="E215" s="124">
        <v>0.04</v>
      </c>
      <c r="F215" s="119">
        <f t="shared" si="24"/>
        <v>150.78211200000001</v>
      </c>
      <c r="G215" s="5">
        <v>0.4</v>
      </c>
      <c r="H215" s="103">
        <f t="shared" si="4"/>
        <v>1.1023000000000001</v>
      </c>
      <c r="I215" s="68">
        <v>0.5</v>
      </c>
      <c r="J215" s="63"/>
      <c r="K215" s="122">
        <f t="shared" si="25"/>
        <v>221.14709760000002</v>
      </c>
      <c r="O215" s="112">
        <v>246.376</v>
      </c>
    </row>
    <row r="216" spans="1:15">
      <c r="A216" s="63" t="s">
        <v>357</v>
      </c>
      <c r="B216" s="63" t="s">
        <v>494</v>
      </c>
      <c r="C216" s="112">
        <v>251.30352000000002</v>
      </c>
      <c r="D216" s="125">
        <v>0.02</v>
      </c>
      <c r="E216" s="124">
        <v>0.04</v>
      </c>
      <c r="F216" s="119">
        <f t="shared" si="24"/>
        <v>150.78211200000001</v>
      </c>
      <c r="G216" s="5">
        <v>0.4</v>
      </c>
      <c r="H216" s="103">
        <f t="shared" si="4"/>
        <v>1.1023000000000001</v>
      </c>
      <c r="I216" s="68">
        <v>0.5</v>
      </c>
      <c r="J216" s="63"/>
      <c r="K216" s="122">
        <f t="shared" si="25"/>
        <v>221.14709760000002</v>
      </c>
      <c r="O216" s="112">
        <v>246.376</v>
      </c>
    </row>
    <row r="217" spans="1:15">
      <c r="A217" s="63" t="s">
        <v>358</v>
      </c>
      <c r="B217" s="63" t="s">
        <v>161</v>
      </c>
      <c r="C217" s="112">
        <v>251.30352000000002</v>
      </c>
      <c r="D217" s="125">
        <v>0.02</v>
      </c>
      <c r="E217" s="124">
        <v>0.04</v>
      </c>
      <c r="F217" s="119">
        <f t="shared" si="24"/>
        <v>150.78211200000001</v>
      </c>
      <c r="G217" s="5">
        <v>0.4</v>
      </c>
      <c r="H217" s="103">
        <v>1</v>
      </c>
      <c r="I217" s="68">
        <v>0.5</v>
      </c>
      <c r="J217" s="63"/>
      <c r="K217" s="122">
        <f t="shared" si="25"/>
        <v>221.14709760000002</v>
      </c>
      <c r="O217" s="112">
        <v>246.376</v>
      </c>
    </row>
    <row r="218" spans="1:15">
      <c r="A218" s="63" t="s">
        <v>359</v>
      </c>
      <c r="B218" s="63" t="s">
        <v>495</v>
      </c>
      <c r="C218" s="112">
        <v>251.30352000000002</v>
      </c>
      <c r="D218" s="125">
        <v>0.02</v>
      </c>
      <c r="E218" s="124">
        <v>0.04</v>
      </c>
      <c r="F218" s="119">
        <f t="shared" si="24"/>
        <v>150.78211200000001</v>
      </c>
      <c r="G218" s="5">
        <v>0.4</v>
      </c>
      <c r="H218" s="103">
        <f t="shared" si="4"/>
        <v>1.1023000000000001</v>
      </c>
      <c r="I218" s="68">
        <v>0.5</v>
      </c>
      <c r="J218" s="63"/>
      <c r="K218" s="122">
        <f t="shared" si="25"/>
        <v>221.14709760000002</v>
      </c>
      <c r="O218" s="112">
        <v>246.376</v>
      </c>
    </row>
    <row r="219" spans="1:15">
      <c r="A219" s="63" t="s">
        <v>360</v>
      </c>
      <c r="B219" s="63" t="s">
        <v>496</v>
      </c>
      <c r="C219" s="112">
        <v>251.30352000000002</v>
      </c>
      <c r="D219" s="125">
        <v>0.02</v>
      </c>
      <c r="E219" s="124">
        <v>0.04</v>
      </c>
      <c r="F219" s="119">
        <f t="shared" si="24"/>
        <v>150.78211200000001</v>
      </c>
      <c r="G219" s="5">
        <v>0.4</v>
      </c>
      <c r="H219" s="103">
        <v>1</v>
      </c>
      <c r="I219" s="68">
        <v>0.5</v>
      </c>
      <c r="J219" s="63"/>
      <c r="K219" s="122">
        <f t="shared" si="25"/>
        <v>221.14709760000002</v>
      </c>
      <c r="O219" s="112">
        <v>246.376</v>
      </c>
    </row>
    <row r="220" spans="1:15">
      <c r="A220" s="63" t="s">
        <v>361</v>
      </c>
      <c r="B220" s="63" t="s">
        <v>162</v>
      </c>
      <c r="C220" s="112">
        <v>251.30352000000002</v>
      </c>
      <c r="D220" s="125">
        <v>0.02</v>
      </c>
      <c r="E220" s="124">
        <v>0.04</v>
      </c>
      <c r="F220" s="119">
        <f t="shared" si="24"/>
        <v>150.78211200000001</v>
      </c>
      <c r="G220" s="5">
        <v>0.4</v>
      </c>
      <c r="H220" s="103">
        <f t="shared" ref="H220" si="26">I220*2.2046</f>
        <v>1.1023000000000001</v>
      </c>
      <c r="I220" s="68">
        <v>0.5</v>
      </c>
      <c r="J220" s="63"/>
      <c r="K220" s="122">
        <f t="shared" si="25"/>
        <v>221.14709760000002</v>
      </c>
      <c r="O220" s="112">
        <v>246.376</v>
      </c>
    </row>
    <row r="221" spans="1:15">
      <c r="A221" s="63" t="s">
        <v>362</v>
      </c>
      <c r="B221" s="63" t="s">
        <v>194</v>
      </c>
      <c r="C221" s="112">
        <v>251.30352000000002</v>
      </c>
      <c r="D221" s="125">
        <v>0.02</v>
      </c>
      <c r="E221" s="124">
        <v>0.04</v>
      </c>
      <c r="F221" s="119">
        <f t="shared" si="24"/>
        <v>150.78211200000001</v>
      </c>
      <c r="G221" s="5">
        <v>0.4</v>
      </c>
      <c r="H221" s="103">
        <f t="shared" si="4"/>
        <v>1.1023000000000001</v>
      </c>
      <c r="I221" s="68">
        <v>0.5</v>
      </c>
      <c r="J221" s="63"/>
      <c r="K221" s="122">
        <f t="shared" si="25"/>
        <v>221.14709760000002</v>
      </c>
      <c r="O221" s="112">
        <v>246.376</v>
      </c>
    </row>
    <row r="222" spans="1:15">
      <c r="A222" s="63" t="s">
        <v>363</v>
      </c>
      <c r="B222" s="63" t="s">
        <v>195</v>
      </c>
      <c r="C222" s="112">
        <v>251.30352000000002</v>
      </c>
      <c r="D222" s="125">
        <v>0.02</v>
      </c>
      <c r="E222" s="124">
        <v>0.04</v>
      </c>
      <c r="F222" s="119">
        <f t="shared" si="24"/>
        <v>150.78211200000001</v>
      </c>
      <c r="G222" s="5">
        <v>0.4</v>
      </c>
      <c r="H222" s="103">
        <f t="shared" si="4"/>
        <v>1.1023000000000001</v>
      </c>
      <c r="I222" s="68">
        <v>0.5</v>
      </c>
      <c r="J222" s="63"/>
      <c r="K222" s="122">
        <f t="shared" si="25"/>
        <v>221.14709760000002</v>
      </c>
      <c r="O222" s="112">
        <v>246.376</v>
      </c>
    </row>
    <row r="223" spans="1:15">
      <c r="A223" s="63" t="s">
        <v>364</v>
      </c>
      <c r="B223" s="63" t="s">
        <v>97</v>
      </c>
      <c r="C223" s="112">
        <v>251.30352000000002</v>
      </c>
      <c r="D223" s="125">
        <v>0.02</v>
      </c>
      <c r="E223" s="124">
        <v>0.04</v>
      </c>
      <c r="F223" s="119">
        <f t="shared" si="24"/>
        <v>150.78211200000001</v>
      </c>
      <c r="G223" s="5">
        <v>0.4</v>
      </c>
      <c r="H223" s="103">
        <f t="shared" si="4"/>
        <v>1.1023000000000001</v>
      </c>
      <c r="I223" s="68">
        <v>0.5</v>
      </c>
      <c r="J223" s="63"/>
      <c r="K223" s="122">
        <f t="shared" si="25"/>
        <v>221.14709760000002</v>
      </c>
      <c r="O223" s="112">
        <v>246.376</v>
      </c>
    </row>
    <row r="224" spans="1:15">
      <c r="A224" s="63" t="s">
        <v>55</v>
      </c>
      <c r="B224" s="63" t="s">
        <v>196</v>
      </c>
      <c r="C224" s="112">
        <v>1893.63408</v>
      </c>
      <c r="D224" s="125">
        <v>0.02</v>
      </c>
      <c r="E224" s="124">
        <v>0.04</v>
      </c>
      <c r="F224" s="119">
        <f t="shared" si="24"/>
        <v>1136.1804480000001</v>
      </c>
      <c r="G224" s="5">
        <v>0.4</v>
      </c>
      <c r="H224" s="103">
        <f>I224*2.2046</f>
        <v>2.6455199999999999</v>
      </c>
      <c r="I224" s="68">
        <v>1.2</v>
      </c>
      <c r="J224" s="63"/>
      <c r="K224" s="122">
        <f t="shared" si="25"/>
        <v>1666.3979904</v>
      </c>
      <c r="O224" s="112">
        <v>1856.5039999999999</v>
      </c>
    </row>
    <row r="225" spans="1:15">
      <c r="A225" s="63" t="s">
        <v>365</v>
      </c>
      <c r="B225" s="63" t="s">
        <v>484</v>
      </c>
      <c r="C225" s="112">
        <v>659.39328000000012</v>
      </c>
      <c r="D225" s="125">
        <v>0.02</v>
      </c>
      <c r="E225" s="124">
        <v>0.04</v>
      </c>
      <c r="F225" s="119">
        <f t="shared" si="24"/>
        <v>395.63596800000005</v>
      </c>
      <c r="G225" s="5">
        <v>0.4</v>
      </c>
      <c r="H225" s="103">
        <f>I225*2.2046</f>
        <v>6.6138000000000003</v>
      </c>
      <c r="I225" s="68">
        <v>3</v>
      </c>
      <c r="J225" s="63"/>
      <c r="K225" s="122">
        <f t="shared" si="25"/>
        <v>580.26608640000006</v>
      </c>
      <c r="O225" s="112">
        <v>646.46400000000006</v>
      </c>
    </row>
    <row r="226" spans="1:15">
      <c r="A226" s="63" t="s">
        <v>366</v>
      </c>
      <c r="B226" s="63" t="s">
        <v>485</v>
      </c>
      <c r="C226" s="112">
        <v>437.58</v>
      </c>
      <c r="D226" s="125">
        <v>0.02</v>
      </c>
      <c r="E226" s="124">
        <v>0.04</v>
      </c>
      <c r="F226" s="119">
        <f t="shared" si="24"/>
        <v>262.548</v>
      </c>
      <c r="G226" s="5">
        <v>0.4</v>
      </c>
      <c r="H226" s="103">
        <f>I226*2.2046</f>
        <v>6.6138000000000003</v>
      </c>
      <c r="I226" s="68">
        <v>3</v>
      </c>
      <c r="J226" s="63"/>
      <c r="K226" s="122">
        <f t="shared" si="25"/>
        <v>385.07040000000001</v>
      </c>
      <c r="O226" s="112">
        <v>429</v>
      </c>
    </row>
    <row r="227" spans="1:15">
      <c r="A227" s="63" t="s">
        <v>367</v>
      </c>
      <c r="B227" s="63" t="s">
        <v>486</v>
      </c>
      <c r="C227" s="112">
        <v>437.58</v>
      </c>
      <c r="D227" s="125">
        <v>0.02</v>
      </c>
      <c r="E227" s="124">
        <v>0.04</v>
      </c>
      <c r="F227" s="119">
        <f t="shared" si="24"/>
        <v>262.548</v>
      </c>
      <c r="G227" s="5">
        <v>0.4</v>
      </c>
      <c r="H227" s="103">
        <f>I227*2.2046</f>
        <v>6.6138000000000003</v>
      </c>
      <c r="I227" s="68">
        <v>3</v>
      </c>
      <c r="J227" s="63"/>
      <c r="K227" s="122">
        <f t="shared" si="25"/>
        <v>385.07040000000001</v>
      </c>
      <c r="O227" s="112">
        <v>429</v>
      </c>
    </row>
    <row r="228" spans="1:15">
      <c r="A228" s="63" t="s">
        <v>56</v>
      </c>
      <c r="B228" s="63" t="s">
        <v>197</v>
      </c>
      <c r="C228" s="112">
        <v>2882.7240000000002</v>
      </c>
      <c r="D228" s="125">
        <v>0.02</v>
      </c>
      <c r="E228" s="124">
        <v>0.04</v>
      </c>
      <c r="F228" s="119">
        <f t="shared" si="24"/>
        <v>1729.6344000000004</v>
      </c>
      <c r="G228" s="5">
        <v>0.39999999999999997</v>
      </c>
      <c r="H228" s="103">
        <f t="shared" si="4"/>
        <v>7.0547200000000005</v>
      </c>
      <c r="I228" s="68">
        <v>3.2</v>
      </c>
      <c r="J228" s="63"/>
      <c r="K228" s="122">
        <f t="shared" si="25"/>
        <v>2536.7971200000002</v>
      </c>
      <c r="O228" s="112">
        <v>2826.2000000000003</v>
      </c>
    </row>
    <row r="229" spans="1:15">
      <c r="A229" s="63" t="s">
        <v>368</v>
      </c>
      <c r="B229" s="63" t="s">
        <v>198</v>
      </c>
      <c r="C229" s="112">
        <v>97.495680000000007</v>
      </c>
      <c r="D229" s="125">
        <v>0.02</v>
      </c>
      <c r="E229" s="124">
        <v>0.03</v>
      </c>
      <c r="F229" s="119">
        <f t="shared" si="24"/>
        <v>53.622624000000009</v>
      </c>
      <c r="G229" s="5">
        <v>0.45</v>
      </c>
      <c r="H229" s="103">
        <f t="shared" ref="H229:H230" si="27">I229*2.2046</f>
        <v>2.2046000000000001</v>
      </c>
      <c r="I229" s="100">
        <v>1</v>
      </c>
      <c r="J229" s="63"/>
      <c r="K229" s="122">
        <f t="shared" si="25"/>
        <v>85.796198400000009</v>
      </c>
      <c r="O229" s="112">
        <v>95.584000000000003</v>
      </c>
    </row>
    <row r="230" spans="1:15">
      <c r="A230" s="63" t="s">
        <v>10</v>
      </c>
      <c r="B230" s="63" t="s">
        <v>199</v>
      </c>
      <c r="C230" s="112">
        <v>97.495680000000007</v>
      </c>
      <c r="D230" s="125">
        <v>0.02</v>
      </c>
      <c r="E230" s="124">
        <v>0.03</v>
      </c>
      <c r="F230" s="119">
        <f t="shared" si="24"/>
        <v>53.622624000000009</v>
      </c>
      <c r="G230" s="5">
        <v>0.45</v>
      </c>
      <c r="H230" s="103">
        <f t="shared" si="27"/>
        <v>2.2046000000000001</v>
      </c>
      <c r="I230" s="100">
        <v>1</v>
      </c>
      <c r="J230" s="63"/>
      <c r="K230" s="122">
        <f t="shared" si="25"/>
        <v>85.796198400000009</v>
      </c>
      <c r="O230" s="112">
        <v>95.584000000000003</v>
      </c>
    </row>
    <row r="231" spans="1:15">
      <c r="A231" s="63" t="s">
        <v>369</v>
      </c>
      <c r="B231" s="63" t="s">
        <v>156</v>
      </c>
      <c r="C231" s="112">
        <v>252.47040000000001</v>
      </c>
      <c r="D231" s="125">
        <v>0.02</v>
      </c>
      <c r="E231" s="124">
        <v>0.04</v>
      </c>
      <c r="F231" s="119">
        <f t="shared" si="24"/>
        <v>151.48223999999999</v>
      </c>
      <c r="G231" s="5">
        <v>0.4</v>
      </c>
      <c r="H231" s="103">
        <v>2</v>
      </c>
      <c r="I231" s="100">
        <v>1</v>
      </c>
      <c r="J231" s="63"/>
      <c r="K231" s="122">
        <f t="shared" si="25"/>
        <v>222.17395200000001</v>
      </c>
      <c r="O231" s="112">
        <v>247.52</v>
      </c>
    </row>
    <row r="232" spans="1:15">
      <c r="A232" s="63" t="s">
        <v>60</v>
      </c>
      <c r="B232" s="63" t="s">
        <v>17</v>
      </c>
      <c r="C232" s="112">
        <v>1375.2211200000002</v>
      </c>
      <c r="D232" s="125">
        <v>0.02</v>
      </c>
      <c r="E232" s="124">
        <v>0.04</v>
      </c>
      <c r="F232" s="119">
        <f t="shared" si="24"/>
        <v>825.13267200000018</v>
      </c>
      <c r="G232" s="5">
        <v>0.39999999999999997</v>
      </c>
      <c r="H232" s="103">
        <f t="shared" ref="H232:H307" si="28">I232*2.2046</f>
        <v>4.1887400000000001</v>
      </c>
      <c r="I232" s="68">
        <v>1.9</v>
      </c>
      <c r="J232" s="63"/>
      <c r="K232" s="122">
        <f t="shared" si="25"/>
        <v>1210.1945856000002</v>
      </c>
      <c r="O232" s="112">
        <v>1348.2560000000001</v>
      </c>
    </row>
    <row r="233" spans="1:15">
      <c r="A233" s="63" t="s">
        <v>15</v>
      </c>
      <c r="B233" s="63" t="s">
        <v>289</v>
      </c>
      <c r="C233" s="112">
        <v>124.39104000000002</v>
      </c>
      <c r="D233" s="125">
        <v>0.02</v>
      </c>
      <c r="E233" s="124">
        <v>0.03</v>
      </c>
      <c r="F233" s="119">
        <f t="shared" si="24"/>
        <v>68.415072000000009</v>
      </c>
      <c r="G233" s="5">
        <v>0.45</v>
      </c>
      <c r="H233" s="103">
        <f t="shared" si="28"/>
        <v>4.8501200000000004</v>
      </c>
      <c r="I233" s="100">
        <v>2.2000000000000002</v>
      </c>
      <c r="J233" s="63"/>
      <c r="K233" s="122">
        <f t="shared" si="25"/>
        <v>109.46411520000002</v>
      </c>
      <c r="O233" s="112">
        <v>121.95200000000001</v>
      </c>
    </row>
    <row r="234" spans="1:15">
      <c r="A234" s="63" t="s">
        <v>326</v>
      </c>
      <c r="B234" s="63" t="s">
        <v>290</v>
      </c>
      <c r="C234" s="112">
        <v>63.75</v>
      </c>
      <c r="D234" s="125">
        <v>0.02</v>
      </c>
      <c r="E234" s="124">
        <v>0.03</v>
      </c>
      <c r="F234" s="119">
        <f t="shared" si="24"/>
        <v>35.0625</v>
      </c>
      <c r="G234" s="5">
        <v>0.45</v>
      </c>
      <c r="H234" s="103">
        <f t="shared" si="28"/>
        <v>7.0547200000000005</v>
      </c>
      <c r="I234" s="100">
        <v>3.2</v>
      </c>
      <c r="J234" s="63"/>
      <c r="K234" s="122">
        <f t="shared" si="25"/>
        <v>56.1</v>
      </c>
      <c r="O234" s="112">
        <v>62.5</v>
      </c>
    </row>
    <row r="235" spans="1:15">
      <c r="A235" s="63" t="s">
        <v>57</v>
      </c>
      <c r="B235" s="63" t="s">
        <v>41</v>
      </c>
      <c r="C235" s="112">
        <v>2126.4796800000004</v>
      </c>
      <c r="D235" s="125">
        <v>0.02</v>
      </c>
      <c r="E235" s="124">
        <v>0.04</v>
      </c>
      <c r="F235" s="119">
        <f t="shared" si="24"/>
        <v>1275.8878080000002</v>
      </c>
      <c r="G235" s="5">
        <v>0.4</v>
      </c>
      <c r="H235" s="103">
        <f t="shared" si="28"/>
        <v>5.7319600000000008</v>
      </c>
      <c r="I235" s="68">
        <v>2.6</v>
      </c>
      <c r="J235" s="63"/>
      <c r="K235" s="122">
        <f t="shared" si="25"/>
        <v>1871.3021184000004</v>
      </c>
      <c r="O235" s="112">
        <v>2084.7840000000001</v>
      </c>
    </row>
    <row r="236" spans="1:15">
      <c r="A236" s="23" t="s">
        <v>250</v>
      </c>
      <c r="B236" s="61" t="s">
        <v>251</v>
      </c>
      <c r="C236" s="114">
        <v>169.983</v>
      </c>
      <c r="D236" s="125">
        <v>0.02</v>
      </c>
      <c r="E236" s="124">
        <v>0.04</v>
      </c>
      <c r="F236" s="119">
        <f t="shared" si="24"/>
        <v>101.98979999999997</v>
      </c>
      <c r="G236" s="5">
        <v>0.40000000000000008</v>
      </c>
      <c r="H236" s="103">
        <f t="shared" si="28"/>
        <v>2.2046000000000001</v>
      </c>
      <c r="I236" s="100">
        <v>1</v>
      </c>
      <c r="J236" s="63"/>
      <c r="K236" s="122">
        <f t="shared" si="25"/>
        <v>149.58503999999999</v>
      </c>
      <c r="O236" s="114">
        <v>166.65</v>
      </c>
    </row>
    <row r="237" spans="1:15">
      <c r="A237" s="23" t="s">
        <v>252</v>
      </c>
      <c r="B237" s="61" t="s">
        <v>253</v>
      </c>
      <c r="C237" s="114">
        <v>169.983</v>
      </c>
      <c r="D237" s="125">
        <v>0.02</v>
      </c>
      <c r="E237" s="124">
        <v>0.04</v>
      </c>
      <c r="F237" s="119">
        <f t="shared" si="24"/>
        <v>101.98979999999997</v>
      </c>
      <c r="G237" s="5">
        <v>0.40000000000000008</v>
      </c>
      <c r="H237" s="103">
        <f t="shared" si="28"/>
        <v>2.2046000000000001</v>
      </c>
      <c r="I237" s="100">
        <v>1</v>
      </c>
      <c r="J237" s="63"/>
      <c r="K237" s="122">
        <f t="shared" si="25"/>
        <v>149.58503999999999</v>
      </c>
      <c r="O237" s="114">
        <v>166.65</v>
      </c>
    </row>
    <row r="238" spans="1:15">
      <c r="A238" s="23" t="s">
        <v>305</v>
      </c>
      <c r="B238" s="61" t="s">
        <v>306</v>
      </c>
      <c r="C238" s="114">
        <v>169.983</v>
      </c>
      <c r="D238" s="125">
        <v>0.02</v>
      </c>
      <c r="E238" s="124">
        <v>0.04</v>
      </c>
      <c r="F238" s="119">
        <f t="shared" si="24"/>
        <v>101.98979999999997</v>
      </c>
      <c r="G238" s="5">
        <v>0.40000000000000008</v>
      </c>
      <c r="H238" s="6">
        <v>1</v>
      </c>
      <c r="I238" s="68">
        <v>0.5</v>
      </c>
      <c r="J238" s="68"/>
      <c r="K238" s="122">
        <f t="shared" si="25"/>
        <v>149.58503999999999</v>
      </c>
      <c r="O238" s="114">
        <v>166.65</v>
      </c>
    </row>
    <row r="239" spans="1:15">
      <c r="A239" s="63" t="s">
        <v>326</v>
      </c>
      <c r="B239" s="63" t="s">
        <v>290</v>
      </c>
      <c r="C239" s="112">
        <v>63.754080000000009</v>
      </c>
      <c r="D239" s="125">
        <v>0.02</v>
      </c>
      <c r="E239" s="124">
        <v>0.04</v>
      </c>
      <c r="F239" s="119">
        <f t="shared" si="24"/>
        <v>35.064744000000005</v>
      </c>
      <c r="G239" s="5">
        <v>0.45</v>
      </c>
      <c r="H239" s="103">
        <f t="shared" si="28"/>
        <v>7.0547200000000005</v>
      </c>
      <c r="I239" s="100">
        <v>3.2</v>
      </c>
      <c r="J239" s="63"/>
      <c r="K239" s="122">
        <f t="shared" si="25"/>
        <v>56.103590400000009</v>
      </c>
      <c r="O239" s="112">
        <v>62.504000000000005</v>
      </c>
    </row>
    <row r="240" spans="1:15">
      <c r="A240" s="63" t="s">
        <v>73</v>
      </c>
      <c r="B240" s="63" t="s">
        <v>200</v>
      </c>
      <c r="C240" s="112">
        <v>3059.2411200000006</v>
      </c>
      <c r="D240" s="125">
        <v>0.02</v>
      </c>
      <c r="E240" s="124">
        <v>0.04</v>
      </c>
      <c r="F240" s="119">
        <f t="shared" si="24"/>
        <v>1835.5446720000002</v>
      </c>
      <c r="G240" s="5">
        <v>0.4</v>
      </c>
      <c r="H240" s="103">
        <f t="shared" si="28"/>
        <v>10.141159999999999</v>
      </c>
      <c r="I240" s="68">
        <v>4.5999999999999996</v>
      </c>
      <c r="J240" s="63"/>
      <c r="K240" s="122">
        <f t="shared" si="25"/>
        <v>2692.1321856000004</v>
      </c>
      <c r="O240" s="112">
        <v>2999.2560000000003</v>
      </c>
    </row>
    <row r="241" spans="1:15">
      <c r="A241" s="63" t="s">
        <v>371</v>
      </c>
      <c r="B241" s="63" t="s">
        <v>237</v>
      </c>
      <c r="C241" s="112">
        <v>188.71632000000002</v>
      </c>
      <c r="D241" s="125">
        <v>0.02</v>
      </c>
      <c r="E241" s="124">
        <v>0.04</v>
      </c>
      <c r="F241" s="119">
        <f t="shared" si="24"/>
        <v>113.22979199999999</v>
      </c>
      <c r="G241" s="5">
        <v>0.40000000000000008</v>
      </c>
      <c r="H241" s="103">
        <f t="shared" si="28"/>
        <v>1.1023000000000001</v>
      </c>
      <c r="I241" s="68">
        <v>0.5</v>
      </c>
      <c r="J241" s="63"/>
      <c r="K241" s="122">
        <f t="shared" si="25"/>
        <v>166.07036160000001</v>
      </c>
      <c r="O241" s="112">
        <v>185.01600000000002</v>
      </c>
    </row>
    <row r="242" spans="1:15">
      <c r="A242" s="63" t="s">
        <v>372</v>
      </c>
      <c r="B242" s="63" t="s">
        <v>238</v>
      </c>
      <c r="C242" s="112">
        <v>188.71632000000002</v>
      </c>
      <c r="D242" s="125">
        <v>0.02</v>
      </c>
      <c r="E242" s="124">
        <v>0.04</v>
      </c>
      <c r="F242" s="119">
        <f t="shared" si="24"/>
        <v>113.22979199999999</v>
      </c>
      <c r="G242" s="5">
        <v>0.40000000000000008</v>
      </c>
      <c r="H242" s="103">
        <f t="shared" si="28"/>
        <v>1.1023000000000001</v>
      </c>
      <c r="I242" s="68">
        <v>0.5</v>
      </c>
      <c r="J242" s="63"/>
      <c r="K242" s="122">
        <f t="shared" si="25"/>
        <v>166.07036160000001</v>
      </c>
      <c r="O242" s="112">
        <v>185.01600000000002</v>
      </c>
    </row>
    <row r="243" spans="1:15">
      <c r="A243" s="63" t="s">
        <v>373</v>
      </c>
      <c r="B243" s="63" t="s">
        <v>287</v>
      </c>
      <c r="C243" s="112">
        <v>188.71632000000002</v>
      </c>
      <c r="D243" s="125">
        <v>0.02</v>
      </c>
      <c r="E243" s="124">
        <v>0.04</v>
      </c>
      <c r="F243" s="119">
        <f t="shared" ref="F243:F270" si="29">C243*(1-G243)</f>
        <v>113.22979199999999</v>
      </c>
      <c r="G243" s="5">
        <v>0.40000000000000008</v>
      </c>
      <c r="H243" s="103">
        <f t="shared" si="28"/>
        <v>1.1023000000000001</v>
      </c>
      <c r="I243" s="68">
        <v>0.5</v>
      </c>
      <c r="J243" s="63"/>
      <c r="K243" s="122">
        <f t="shared" ref="K243:K270" si="30">C243*0.88</f>
        <v>166.07036160000001</v>
      </c>
      <c r="O243" s="112">
        <v>185.01600000000002</v>
      </c>
    </row>
    <row r="244" spans="1:15">
      <c r="A244" s="63" t="s">
        <v>374</v>
      </c>
      <c r="B244" s="63" t="s">
        <v>239</v>
      </c>
      <c r="C244" s="112">
        <v>188.71632000000002</v>
      </c>
      <c r="D244" s="125">
        <v>0.02</v>
      </c>
      <c r="E244" s="124">
        <v>0.04</v>
      </c>
      <c r="F244" s="119">
        <f t="shared" si="29"/>
        <v>113.22979199999999</v>
      </c>
      <c r="G244" s="5">
        <v>0.40000000000000008</v>
      </c>
      <c r="H244" s="103">
        <f t="shared" si="28"/>
        <v>1.1023000000000001</v>
      </c>
      <c r="I244" s="68">
        <v>0.5</v>
      </c>
      <c r="J244" s="63"/>
      <c r="K244" s="122">
        <f t="shared" si="30"/>
        <v>166.07036160000001</v>
      </c>
      <c r="O244" s="112">
        <v>185.01600000000002</v>
      </c>
    </row>
    <row r="245" spans="1:15">
      <c r="A245" s="63" t="s">
        <v>375</v>
      </c>
      <c r="B245" s="63" t="s">
        <v>240</v>
      </c>
      <c r="C245" s="112">
        <v>188.71632000000002</v>
      </c>
      <c r="D245" s="125">
        <v>0.02</v>
      </c>
      <c r="E245" s="124">
        <v>0.04</v>
      </c>
      <c r="F245" s="119">
        <f t="shared" si="29"/>
        <v>113.22979199999999</v>
      </c>
      <c r="G245" s="5">
        <v>0.40000000000000008</v>
      </c>
      <c r="H245" s="103">
        <f t="shared" si="28"/>
        <v>1.1023000000000001</v>
      </c>
      <c r="I245" s="68">
        <v>0.5</v>
      </c>
      <c r="J245" s="63"/>
      <c r="K245" s="122">
        <f t="shared" si="30"/>
        <v>166.07036160000001</v>
      </c>
      <c r="O245" s="112">
        <v>185.01600000000002</v>
      </c>
    </row>
    <row r="246" spans="1:15">
      <c r="A246" s="63" t="s">
        <v>104</v>
      </c>
      <c r="B246" s="63" t="s">
        <v>553</v>
      </c>
      <c r="C246" s="112">
        <v>1513.6555200000003</v>
      </c>
      <c r="D246" s="125">
        <v>0.02</v>
      </c>
      <c r="E246" s="124">
        <v>0.04</v>
      </c>
      <c r="F246" s="119">
        <f t="shared" si="29"/>
        <v>908.19331200000011</v>
      </c>
      <c r="G246" s="5">
        <v>0.4</v>
      </c>
      <c r="H246" s="103">
        <f t="shared" si="28"/>
        <v>4.4092000000000002</v>
      </c>
      <c r="I246" s="68">
        <v>2</v>
      </c>
      <c r="J246" s="63"/>
      <c r="K246" s="122">
        <f t="shared" si="30"/>
        <v>1332.0168576000003</v>
      </c>
      <c r="O246" s="112">
        <v>1483.9760000000001</v>
      </c>
    </row>
    <row r="247" spans="1:15">
      <c r="A247" s="63" t="s">
        <v>327</v>
      </c>
      <c r="B247" s="63" t="s">
        <v>551</v>
      </c>
      <c r="C247" s="112">
        <v>153.17952000000002</v>
      </c>
      <c r="D247" s="125">
        <v>0.02</v>
      </c>
      <c r="E247" s="124">
        <v>0.04</v>
      </c>
      <c r="F247" s="119">
        <f t="shared" si="29"/>
        <v>91.907712000000018</v>
      </c>
      <c r="G247" s="5">
        <v>0.4</v>
      </c>
      <c r="H247" s="103">
        <f t="shared" si="28"/>
        <v>2.2046000000000001</v>
      </c>
      <c r="I247" s="100">
        <v>1</v>
      </c>
      <c r="J247" s="63"/>
      <c r="K247" s="122">
        <f t="shared" si="30"/>
        <v>134.79797760000002</v>
      </c>
      <c r="O247" s="112">
        <v>150.17600000000002</v>
      </c>
    </row>
    <row r="248" spans="1:15">
      <c r="A248" s="63" t="s">
        <v>328</v>
      </c>
      <c r="B248" s="63" t="s">
        <v>552</v>
      </c>
      <c r="C248" s="112">
        <v>153.17952000000002</v>
      </c>
      <c r="D248" s="125">
        <v>0.02</v>
      </c>
      <c r="E248" s="124">
        <v>0.04</v>
      </c>
      <c r="F248" s="119">
        <f t="shared" si="29"/>
        <v>91.907712000000018</v>
      </c>
      <c r="G248" s="5">
        <v>0.4</v>
      </c>
      <c r="H248" s="103">
        <f t="shared" si="28"/>
        <v>2.2046000000000001</v>
      </c>
      <c r="I248" s="100">
        <v>1</v>
      </c>
      <c r="J248" s="63"/>
      <c r="K248" s="122">
        <f t="shared" si="30"/>
        <v>134.79797760000002</v>
      </c>
      <c r="O248" s="112">
        <v>150.17600000000002</v>
      </c>
    </row>
    <row r="249" spans="1:15">
      <c r="A249" s="63" t="s">
        <v>370</v>
      </c>
      <c r="B249" s="63" t="s">
        <v>191</v>
      </c>
      <c r="C249" s="112">
        <v>52.721760000000003</v>
      </c>
      <c r="D249" s="125">
        <v>0.02</v>
      </c>
      <c r="E249" s="124">
        <v>0.04</v>
      </c>
      <c r="F249" s="119">
        <f t="shared" si="29"/>
        <v>31.633056</v>
      </c>
      <c r="G249" s="5">
        <v>0.4</v>
      </c>
      <c r="H249" s="103">
        <v>1</v>
      </c>
      <c r="I249" s="100">
        <v>0.5</v>
      </c>
      <c r="J249" s="63"/>
      <c r="K249" s="122">
        <f t="shared" si="30"/>
        <v>46.395148800000001</v>
      </c>
      <c r="O249" s="112">
        <v>51.688000000000002</v>
      </c>
    </row>
    <row r="250" spans="1:15">
      <c r="A250" s="63" t="s">
        <v>62</v>
      </c>
      <c r="B250" s="63" t="s">
        <v>98</v>
      </c>
      <c r="C250" s="112">
        <v>2526.08304</v>
      </c>
      <c r="D250" s="125">
        <v>0.02</v>
      </c>
      <c r="E250" s="124">
        <v>0.04</v>
      </c>
      <c r="F250" s="119">
        <f t="shared" si="29"/>
        <v>1515.6498239999999</v>
      </c>
      <c r="G250" s="5">
        <v>0.4</v>
      </c>
      <c r="H250" s="103">
        <f t="shared" si="28"/>
        <v>7.9365600000000009</v>
      </c>
      <c r="I250" s="68">
        <v>3.6</v>
      </c>
      <c r="J250" s="63"/>
      <c r="K250" s="122">
        <f t="shared" si="30"/>
        <v>2222.9530752000001</v>
      </c>
      <c r="O250" s="112">
        <v>2476.5520000000001</v>
      </c>
    </row>
    <row r="251" spans="1:15">
      <c r="A251" s="63" t="s">
        <v>376</v>
      </c>
      <c r="B251" s="63" t="s">
        <v>213</v>
      </c>
      <c r="C251" s="112">
        <v>188.71632000000002</v>
      </c>
      <c r="D251" s="125">
        <v>0.02</v>
      </c>
      <c r="E251" s="124">
        <v>0.04</v>
      </c>
      <c r="F251" s="119">
        <f t="shared" si="29"/>
        <v>113.22979199999999</v>
      </c>
      <c r="G251" s="5">
        <v>0.40000000000000008</v>
      </c>
      <c r="H251" s="103">
        <f>I251*2.2046</f>
        <v>1.1023000000000001</v>
      </c>
      <c r="I251" s="68">
        <v>0.5</v>
      </c>
      <c r="J251" s="63"/>
      <c r="K251" s="122">
        <f t="shared" si="30"/>
        <v>166.07036160000001</v>
      </c>
      <c r="O251" s="112">
        <v>185.01600000000002</v>
      </c>
    </row>
    <row r="252" spans="1:15">
      <c r="A252" s="63" t="s">
        <v>377</v>
      </c>
      <c r="B252" s="63" t="s">
        <v>313</v>
      </c>
      <c r="C252" s="112">
        <v>188.71632000000002</v>
      </c>
      <c r="D252" s="125">
        <v>0.02</v>
      </c>
      <c r="E252" s="124">
        <v>0.04</v>
      </c>
      <c r="F252" s="119">
        <f t="shared" si="29"/>
        <v>113.22979199999999</v>
      </c>
      <c r="G252" s="5">
        <v>0.40000000000000008</v>
      </c>
      <c r="H252" s="103">
        <f>I252*2.2046</f>
        <v>1.1023000000000001</v>
      </c>
      <c r="I252" s="68">
        <v>0.5</v>
      </c>
      <c r="J252" s="63"/>
      <c r="K252" s="122">
        <f t="shared" si="30"/>
        <v>166.07036160000001</v>
      </c>
      <c r="O252" s="112">
        <v>185.01600000000002</v>
      </c>
    </row>
    <row r="253" spans="1:15">
      <c r="A253" s="23" t="s">
        <v>250</v>
      </c>
      <c r="B253" s="61" t="s">
        <v>251</v>
      </c>
      <c r="C253" s="114">
        <v>169.983</v>
      </c>
      <c r="D253" s="125">
        <v>0.02</v>
      </c>
      <c r="E253" s="124">
        <v>0.04</v>
      </c>
      <c r="F253" s="119">
        <f t="shared" si="29"/>
        <v>101.98979999999997</v>
      </c>
      <c r="G253" s="5">
        <v>0.40000000000000008</v>
      </c>
      <c r="H253" s="103">
        <f t="shared" ref="H253:H254" si="31">I253*2.2046</f>
        <v>2.2046000000000001</v>
      </c>
      <c r="I253" s="100">
        <v>1</v>
      </c>
      <c r="J253" s="63"/>
      <c r="K253" s="122">
        <f t="shared" si="30"/>
        <v>149.58503999999999</v>
      </c>
      <c r="O253" s="114">
        <v>166.65</v>
      </c>
    </row>
    <row r="254" spans="1:15">
      <c r="A254" s="23" t="s">
        <v>252</v>
      </c>
      <c r="B254" s="61" t="s">
        <v>253</v>
      </c>
      <c r="C254" s="114">
        <v>169.983</v>
      </c>
      <c r="D254" s="125">
        <v>0.02</v>
      </c>
      <c r="E254" s="124">
        <v>0.04</v>
      </c>
      <c r="F254" s="119">
        <f t="shared" si="29"/>
        <v>101.98979999999997</v>
      </c>
      <c r="G254" s="5">
        <v>0.40000000000000008</v>
      </c>
      <c r="H254" s="103">
        <f t="shared" si="31"/>
        <v>2.2046000000000001</v>
      </c>
      <c r="I254" s="100">
        <v>1</v>
      </c>
      <c r="J254" s="63"/>
      <c r="K254" s="122">
        <f t="shared" si="30"/>
        <v>149.58503999999999</v>
      </c>
      <c r="O254" s="114">
        <v>166.65</v>
      </c>
    </row>
    <row r="255" spans="1:15">
      <c r="A255" s="23" t="s">
        <v>305</v>
      </c>
      <c r="B255" s="61" t="s">
        <v>306</v>
      </c>
      <c r="C255" s="114">
        <v>169.983</v>
      </c>
      <c r="D255" s="125">
        <v>0.02</v>
      </c>
      <c r="E255" s="124">
        <v>0.04</v>
      </c>
      <c r="F255" s="119">
        <f t="shared" si="29"/>
        <v>101.98979999999997</v>
      </c>
      <c r="G255" s="5">
        <v>0.40000000000000008</v>
      </c>
      <c r="H255" s="6">
        <v>1</v>
      </c>
      <c r="I255" s="68">
        <v>0.5</v>
      </c>
      <c r="J255" s="68"/>
      <c r="K255" s="122">
        <f t="shared" si="30"/>
        <v>149.58503999999999</v>
      </c>
      <c r="O255" s="114">
        <v>166.65</v>
      </c>
    </row>
    <row r="256" spans="1:15">
      <c r="A256" s="63" t="s">
        <v>63</v>
      </c>
      <c r="B256" s="63" t="s">
        <v>99</v>
      </c>
      <c r="C256" s="112">
        <v>2861.9323200000003</v>
      </c>
      <c r="D256" s="125">
        <v>0.02</v>
      </c>
      <c r="E256" s="124">
        <v>0.04</v>
      </c>
      <c r="F256" s="119">
        <f t="shared" si="29"/>
        <v>1717.1593920000003</v>
      </c>
      <c r="G256" s="5">
        <v>0.4</v>
      </c>
      <c r="H256" s="103">
        <f>I256*2.2046</f>
        <v>7.2751799999999998</v>
      </c>
      <c r="I256" s="68">
        <v>3.3</v>
      </c>
      <c r="J256" s="63"/>
      <c r="K256" s="122">
        <f t="shared" si="30"/>
        <v>2518.5004416000002</v>
      </c>
      <c r="O256" s="112">
        <v>2805.8160000000003</v>
      </c>
    </row>
    <row r="257" spans="1:15">
      <c r="A257" s="63" t="s">
        <v>378</v>
      </c>
      <c r="B257" s="63" t="s">
        <v>518</v>
      </c>
      <c r="C257" s="112">
        <v>188.71632000000002</v>
      </c>
      <c r="D257" s="125">
        <v>0.02</v>
      </c>
      <c r="E257" s="124">
        <v>0.04</v>
      </c>
      <c r="F257" s="119">
        <f t="shared" si="29"/>
        <v>113.22979199999999</v>
      </c>
      <c r="G257" s="5">
        <v>0.40000000000000008</v>
      </c>
      <c r="H257" s="103">
        <f>I257*2.2046</f>
        <v>1.1023000000000001</v>
      </c>
      <c r="I257" s="68">
        <v>0.5</v>
      </c>
      <c r="J257" s="63"/>
      <c r="K257" s="122">
        <f t="shared" si="30"/>
        <v>166.07036160000001</v>
      </c>
      <c r="O257" s="112">
        <v>185.01600000000002</v>
      </c>
    </row>
    <row r="258" spans="1:15">
      <c r="A258" s="63" t="s">
        <v>379</v>
      </c>
      <c r="B258" s="63" t="s">
        <v>519</v>
      </c>
      <c r="C258" s="112">
        <v>188.71632000000002</v>
      </c>
      <c r="D258" s="125">
        <v>0.02</v>
      </c>
      <c r="E258" s="124">
        <v>0.04</v>
      </c>
      <c r="F258" s="119">
        <f t="shared" si="29"/>
        <v>113.22979199999999</v>
      </c>
      <c r="G258" s="5">
        <v>0.40000000000000008</v>
      </c>
      <c r="H258" s="103">
        <f>I258*2.2046</f>
        <v>1.1023000000000001</v>
      </c>
      <c r="I258" s="68">
        <v>0.5</v>
      </c>
      <c r="J258" s="63"/>
      <c r="K258" s="122">
        <f t="shared" si="30"/>
        <v>166.07036160000001</v>
      </c>
      <c r="O258" s="112">
        <v>185.01600000000002</v>
      </c>
    </row>
    <row r="259" spans="1:15">
      <c r="A259" s="63" t="s">
        <v>64</v>
      </c>
      <c r="B259" s="63" t="s">
        <v>19</v>
      </c>
      <c r="C259" s="112">
        <v>3451.4188800000002</v>
      </c>
      <c r="D259" s="125">
        <v>0.02</v>
      </c>
      <c r="E259" s="124">
        <v>0.04</v>
      </c>
      <c r="F259" s="119">
        <f t="shared" si="29"/>
        <v>2070.8513280000002</v>
      </c>
      <c r="G259" s="5">
        <v>0.4</v>
      </c>
      <c r="H259" s="103">
        <f t="shared" si="28"/>
        <v>8.3774800000000003</v>
      </c>
      <c r="I259" s="105">
        <v>3.8</v>
      </c>
      <c r="J259" s="63"/>
      <c r="K259" s="122">
        <f t="shared" si="30"/>
        <v>3037.2486144</v>
      </c>
      <c r="O259" s="112">
        <v>3383.7440000000001</v>
      </c>
    </row>
    <row r="260" spans="1:15">
      <c r="A260" s="63" t="s">
        <v>109</v>
      </c>
      <c r="B260" s="63" t="s">
        <v>110</v>
      </c>
      <c r="C260" s="112">
        <v>1459.7668800000001</v>
      </c>
      <c r="D260" s="125">
        <v>0.02</v>
      </c>
      <c r="E260" s="124">
        <v>0.04</v>
      </c>
      <c r="F260" s="119">
        <f t="shared" si="29"/>
        <v>875.86012800000003</v>
      </c>
      <c r="G260" s="5">
        <v>0.4</v>
      </c>
      <c r="H260" s="103"/>
      <c r="I260" s="105"/>
      <c r="J260" s="63"/>
      <c r="K260" s="122">
        <f t="shared" si="30"/>
        <v>1284.5948544</v>
      </c>
      <c r="O260" s="112">
        <v>1431.144</v>
      </c>
    </row>
    <row r="261" spans="1:15">
      <c r="A261" s="63" t="s">
        <v>339</v>
      </c>
      <c r="B261" s="63" t="s">
        <v>513</v>
      </c>
      <c r="C261" s="112">
        <v>232.84560000000002</v>
      </c>
      <c r="D261" s="125">
        <v>0.02</v>
      </c>
      <c r="E261" s="124">
        <v>0.04</v>
      </c>
      <c r="F261" s="119">
        <f t="shared" si="29"/>
        <v>139.70735999999999</v>
      </c>
      <c r="G261" s="10">
        <v>0.4</v>
      </c>
      <c r="H261" s="103">
        <v>1</v>
      </c>
      <c r="I261" s="100">
        <v>0.5</v>
      </c>
      <c r="J261" s="63"/>
      <c r="K261" s="122">
        <f t="shared" si="30"/>
        <v>204.90412800000001</v>
      </c>
      <c r="O261" s="112">
        <v>228.28</v>
      </c>
    </row>
    <row r="262" spans="1:15">
      <c r="A262" s="63" t="s">
        <v>340</v>
      </c>
      <c r="B262" s="63" t="s">
        <v>512</v>
      </c>
      <c r="C262" s="112">
        <v>232.84560000000002</v>
      </c>
      <c r="D262" s="125">
        <v>0.02</v>
      </c>
      <c r="E262" s="124">
        <v>0.04</v>
      </c>
      <c r="F262" s="119">
        <f t="shared" si="29"/>
        <v>139.70735999999999</v>
      </c>
      <c r="G262" s="10">
        <v>0.4</v>
      </c>
      <c r="H262" s="103">
        <v>1</v>
      </c>
      <c r="I262" s="100">
        <v>0.5</v>
      </c>
      <c r="J262" s="63"/>
      <c r="K262" s="122">
        <f t="shared" si="30"/>
        <v>204.90412800000001</v>
      </c>
      <c r="O262" s="112">
        <v>228.28</v>
      </c>
    </row>
    <row r="263" spans="1:15">
      <c r="A263" s="63" t="s">
        <v>65</v>
      </c>
      <c r="B263" s="63" t="s">
        <v>470</v>
      </c>
      <c r="C263" s="112">
        <v>1825.0003200000001</v>
      </c>
      <c r="D263" s="125">
        <v>0.02</v>
      </c>
      <c r="E263" s="124">
        <v>0.04</v>
      </c>
      <c r="F263" s="119">
        <f t="shared" si="29"/>
        <v>1095.0001920000002</v>
      </c>
      <c r="G263" s="5">
        <v>0.39999999999999997</v>
      </c>
      <c r="H263" s="103">
        <f t="shared" si="28"/>
        <v>3.3069000000000002</v>
      </c>
      <c r="I263" s="68">
        <v>1.5</v>
      </c>
      <c r="J263" s="63"/>
      <c r="K263" s="122">
        <f t="shared" si="30"/>
        <v>1606.0002816000001</v>
      </c>
      <c r="O263" s="112">
        <v>1789.2160000000001</v>
      </c>
    </row>
    <row r="264" spans="1:15">
      <c r="A264" s="63" t="s">
        <v>66</v>
      </c>
      <c r="B264" s="63" t="s">
        <v>44</v>
      </c>
      <c r="C264" s="112">
        <v>817.55856000000006</v>
      </c>
      <c r="D264" s="125">
        <v>0.02</v>
      </c>
      <c r="E264" s="124">
        <v>0.04</v>
      </c>
      <c r="F264" s="119">
        <f t="shared" si="29"/>
        <v>490.53513599999991</v>
      </c>
      <c r="G264" s="5">
        <v>0.40000000000000008</v>
      </c>
      <c r="H264" s="103">
        <f t="shared" si="28"/>
        <v>3.5273600000000003</v>
      </c>
      <c r="I264" s="68">
        <v>1.6</v>
      </c>
      <c r="J264" s="63"/>
      <c r="K264" s="122">
        <f t="shared" si="30"/>
        <v>719.45153280000011</v>
      </c>
      <c r="O264" s="112">
        <v>801.52800000000002</v>
      </c>
    </row>
    <row r="265" spans="1:15">
      <c r="A265" s="63" t="s">
        <v>334</v>
      </c>
      <c r="B265" s="63" t="s">
        <v>12</v>
      </c>
      <c r="C265" s="112">
        <v>27.52572</v>
      </c>
      <c r="D265" s="125">
        <v>0.02</v>
      </c>
      <c r="E265" s="124">
        <v>0.03</v>
      </c>
      <c r="F265" s="119">
        <f t="shared" si="29"/>
        <v>15.139146</v>
      </c>
      <c r="G265" s="5">
        <v>0.45</v>
      </c>
      <c r="H265" s="103">
        <v>1</v>
      </c>
      <c r="I265" s="100">
        <v>0.5</v>
      </c>
      <c r="J265" s="63"/>
      <c r="K265" s="122">
        <f t="shared" si="30"/>
        <v>24.222633599999998</v>
      </c>
      <c r="O265" s="112">
        <v>26.986000000000001</v>
      </c>
    </row>
    <row r="266" spans="1:15">
      <c r="A266" s="63" t="s">
        <v>335</v>
      </c>
      <c r="B266" s="63" t="s">
        <v>14</v>
      </c>
      <c r="C266" s="112">
        <v>27.52572</v>
      </c>
      <c r="D266" s="125">
        <v>0.02</v>
      </c>
      <c r="E266" s="124">
        <v>0.03</v>
      </c>
      <c r="F266" s="119">
        <f t="shared" si="29"/>
        <v>15.139146</v>
      </c>
      <c r="G266" s="5">
        <v>0.45</v>
      </c>
      <c r="H266" s="103">
        <v>1</v>
      </c>
      <c r="I266" s="100">
        <v>0.5</v>
      </c>
      <c r="J266" s="63"/>
      <c r="K266" s="122">
        <f t="shared" si="30"/>
        <v>24.222633599999998</v>
      </c>
      <c r="O266" s="112">
        <v>26.986000000000001</v>
      </c>
    </row>
    <row r="267" spans="1:15">
      <c r="A267" s="63" t="s">
        <v>58</v>
      </c>
      <c r="B267" s="63" t="s">
        <v>498</v>
      </c>
      <c r="C267" s="112">
        <v>1773.5515200000002</v>
      </c>
      <c r="D267" s="125">
        <v>0.02</v>
      </c>
      <c r="E267" s="124">
        <v>0.04</v>
      </c>
      <c r="F267" s="119">
        <f t="shared" si="29"/>
        <v>1064.1309120000003</v>
      </c>
      <c r="G267" s="5">
        <v>0.39999999999999997</v>
      </c>
      <c r="H267" s="103">
        <f t="shared" si="28"/>
        <v>3.5273600000000003</v>
      </c>
      <c r="I267" s="68">
        <v>1.6</v>
      </c>
      <c r="J267" s="63"/>
      <c r="K267" s="122">
        <f t="shared" si="30"/>
        <v>1560.7253376000001</v>
      </c>
      <c r="O267" s="112">
        <v>1738.7760000000001</v>
      </c>
    </row>
    <row r="268" spans="1:15">
      <c r="A268" s="63" t="s">
        <v>59</v>
      </c>
      <c r="B268" s="63" t="s">
        <v>416</v>
      </c>
      <c r="C268" s="112">
        <v>1911.9859200000001</v>
      </c>
      <c r="D268" s="125">
        <v>0.02</v>
      </c>
      <c r="E268" s="124">
        <v>0.04</v>
      </c>
      <c r="F268" s="119">
        <f t="shared" si="29"/>
        <v>1147.191552</v>
      </c>
      <c r="G268" s="5">
        <v>0.4</v>
      </c>
      <c r="H268" s="103">
        <f t="shared" si="28"/>
        <v>3.9682800000000005</v>
      </c>
      <c r="I268" s="68">
        <v>1.8</v>
      </c>
      <c r="J268" s="63"/>
      <c r="K268" s="122">
        <f t="shared" si="30"/>
        <v>1682.5476096</v>
      </c>
      <c r="O268" s="112">
        <v>1874.4960000000001</v>
      </c>
    </row>
    <row r="269" spans="1:15">
      <c r="A269" s="63" t="s">
        <v>67</v>
      </c>
      <c r="B269" s="63" t="s">
        <v>43</v>
      </c>
      <c r="C269" s="112">
        <v>1375.2211200000002</v>
      </c>
      <c r="D269" s="125">
        <v>0.02</v>
      </c>
      <c r="E269" s="124">
        <v>0.04</v>
      </c>
      <c r="F269" s="119">
        <f t="shared" si="29"/>
        <v>825.13267200000018</v>
      </c>
      <c r="G269" s="5">
        <v>0.39999999999999997</v>
      </c>
      <c r="H269" s="103">
        <f t="shared" si="28"/>
        <v>2.6455199999999999</v>
      </c>
      <c r="I269" s="68">
        <v>1.2</v>
      </c>
      <c r="J269" s="63"/>
      <c r="K269" s="122">
        <f t="shared" si="30"/>
        <v>1210.1945856000002</v>
      </c>
      <c r="O269" s="112">
        <v>1348.2560000000001</v>
      </c>
    </row>
    <row r="270" spans="1:15">
      <c r="A270" s="63" t="s">
        <v>68</v>
      </c>
      <c r="B270" s="63" t="s">
        <v>18</v>
      </c>
      <c r="C270" s="112">
        <v>1593.3216000000002</v>
      </c>
      <c r="D270" s="125">
        <v>0.02</v>
      </c>
      <c r="E270" s="124">
        <v>0.04</v>
      </c>
      <c r="F270" s="119">
        <f t="shared" si="29"/>
        <v>955.99296000000004</v>
      </c>
      <c r="G270" s="5">
        <v>0.4</v>
      </c>
      <c r="H270" s="103">
        <f t="shared" si="28"/>
        <v>2.2046000000000001</v>
      </c>
      <c r="I270" s="68">
        <v>1</v>
      </c>
      <c r="J270" s="63"/>
      <c r="K270" s="122">
        <f t="shared" si="30"/>
        <v>1402.1230080000003</v>
      </c>
      <c r="O270" s="112">
        <v>1562.0800000000002</v>
      </c>
    </row>
    <row r="271" spans="1:15">
      <c r="A271" s="63"/>
      <c r="B271" s="63"/>
      <c r="C271" s="112"/>
      <c r="D271" s="126"/>
      <c r="E271" s="124"/>
      <c r="F271" s="119"/>
      <c r="G271" s="5"/>
      <c r="H271" s="103"/>
      <c r="I271" s="68"/>
      <c r="J271" s="63"/>
      <c r="K271" s="122"/>
      <c r="O271" s="112"/>
    </row>
    <row r="272" spans="1:15">
      <c r="A272" s="63"/>
      <c r="B272" s="63"/>
      <c r="C272" s="112"/>
      <c r="D272" s="126"/>
      <c r="E272" s="124"/>
      <c r="F272" s="119"/>
      <c r="G272" s="5"/>
      <c r="H272" s="103"/>
      <c r="I272" s="68"/>
      <c r="J272" s="63"/>
      <c r="K272" s="122"/>
      <c r="O272" s="112"/>
    </row>
    <row r="273" spans="1:15" ht="18.75">
      <c r="A273" s="79" t="s">
        <v>30</v>
      </c>
      <c r="B273" s="63"/>
      <c r="C273" s="112"/>
      <c r="D273" s="126"/>
      <c r="E273" s="124"/>
      <c r="F273" s="119"/>
      <c r="G273" s="5"/>
      <c r="H273" s="103"/>
      <c r="I273" s="68"/>
      <c r="J273" s="63"/>
      <c r="K273" s="122"/>
      <c r="O273" s="112"/>
    </row>
    <row r="274" spans="1:15">
      <c r="A274" s="64" t="s">
        <v>69</v>
      </c>
      <c r="B274" s="64" t="s">
        <v>545</v>
      </c>
      <c r="C274" s="112">
        <v>7496.9918400000006</v>
      </c>
      <c r="D274" s="125">
        <v>0.02</v>
      </c>
      <c r="E274" s="124">
        <v>0.04</v>
      </c>
      <c r="F274" s="119">
        <f t="shared" ref="F274:F305" si="32">C274*(1-G274)</f>
        <v>4498.1951040000004</v>
      </c>
      <c r="G274" s="5">
        <v>0.4</v>
      </c>
      <c r="H274" s="103">
        <f t="shared" si="28"/>
        <v>141.09440000000001</v>
      </c>
      <c r="I274" s="68">
        <v>64</v>
      </c>
      <c r="J274" s="63"/>
      <c r="K274" s="122">
        <f t="shared" ref="K274:K305" si="33">C274*0.88</f>
        <v>6597.3528192000003</v>
      </c>
      <c r="O274" s="112">
        <v>7349.9920000000002</v>
      </c>
    </row>
    <row r="275" spans="1:15">
      <c r="A275" s="64" t="s">
        <v>176</v>
      </c>
      <c r="B275" s="64" t="s">
        <v>177</v>
      </c>
      <c r="C275" s="112">
        <v>7496.9918400000006</v>
      </c>
      <c r="D275" s="125">
        <v>0.02</v>
      </c>
      <c r="E275" s="124">
        <v>0.04</v>
      </c>
      <c r="F275" s="119">
        <f t="shared" si="32"/>
        <v>4498.1951040000004</v>
      </c>
      <c r="G275" s="5">
        <v>0.4</v>
      </c>
      <c r="H275" s="103">
        <f t="shared" si="28"/>
        <v>141.09440000000001</v>
      </c>
      <c r="I275" s="68">
        <v>64</v>
      </c>
      <c r="J275" s="63"/>
      <c r="K275" s="122">
        <f t="shared" si="33"/>
        <v>6597.3528192000003</v>
      </c>
      <c r="O275" s="112">
        <v>7349.9920000000002</v>
      </c>
    </row>
    <row r="276" spans="1:15">
      <c r="A276" s="64" t="s">
        <v>70</v>
      </c>
      <c r="B276" s="64" t="s">
        <v>546</v>
      </c>
      <c r="C276" s="112">
        <v>11343.24048</v>
      </c>
      <c r="D276" s="125">
        <v>0.02</v>
      </c>
      <c r="E276" s="124">
        <v>0.04</v>
      </c>
      <c r="F276" s="119">
        <f t="shared" si="32"/>
        <v>6805.9442879999997</v>
      </c>
      <c r="G276" s="5">
        <v>0.4</v>
      </c>
      <c r="H276" s="103">
        <f t="shared" si="28"/>
        <v>191.80020000000002</v>
      </c>
      <c r="I276" s="68">
        <v>87</v>
      </c>
      <c r="J276" s="63"/>
      <c r="K276" s="122">
        <f t="shared" si="33"/>
        <v>9982.0516224000003</v>
      </c>
      <c r="O276" s="112">
        <v>11120.824000000001</v>
      </c>
    </row>
    <row r="277" spans="1:15" s="70" customFormat="1">
      <c r="A277" s="64" t="s">
        <v>178</v>
      </c>
      <c r="B277" s="64" t="s">
        <v>179</v>
      </c>
      <c r="C277" s="112">
        <v>11343.24048</v>
      </c>
      <c r="D277" s="125">
        <v>0.02</v>
      </c>
      <c r="E277" s="124">
        <v>0.04</v>
      </c>
      <c r="F277" s="119">
        <f t="shared" si="32"/>
        <v>6805.9442879999997</v>
      </c>
      <c r="G277" s="5">
        <v>0.4</v>
      </c>
      <c r="H277" s="103">
        <f t="shared" si="28"/>
        <v>191.80020000000002</v>
      </c>
      <c r="I277" s="68">
        <v>87</v>
      </c>
      <c r="J277" s="63"/>
      <c r="K277" s="122">
        <f t="shared" si="33"/>
        <v>9982.0516224000003</v>
      </c>
      <c r="O277" s="112">
        <v>11120.824000000001</v>
      </c>
    </row>
    <row r="278" spans="1:15" ht="30">
      <c r="A278" s="77" t="s">
        <v>311</v>
      </c>
      <c r="B278" s="78" t="s">
        <v>312</v>
      </c>
      <c r="C278" s="116">
        <v>235.72200000000001</v>
      </c>
      <c r="D278" s="125">
        <v>0.02</v>
      </c>
      <c r="E278" s="124">
        <v>0</v>
      </c>
      <c r="F278" s="120">
        <f t="shared" si="32"/>
        <v>141.4332</v>
      </c>
      <c r="G278" s="71">
        <v>0.4</v>
      </c>
      <c r="H278" s="103">
        <v>5</v>
      </c>
      <c r="I278" s="100">
        <v>2.5</v>
      </c>
      <c r="J278" s="92"/>
      <c r="K278" s="122">
        <f t="shared" si="33"/>
        <v>207.43536</v>
      </c>
      <c r="O278" s="116">
        <v>231.1</v>
      </c>
    </row>
    <row r="279" spans="1:15">
      <c r="A279" s="63" t="s">
        <v>71</v>
      </c>
      <c r="B279" s="63" t="s">
        <v>21</v>
      </c>
      <c r="C279" s="112">
        <v>2874.1315200000004</v>
      </c>
      <c r="D279" s="125">
        <v>0.02</v>
      </c>
      <c r="E279" s="124">
        <v>0.04</v>
      </c>
      <c r="F279" s="119">
        <f t="shared" si="32"/>
        <v>1724.4789120000005</v>
      </c>
      <c r="G279" s="5">
        <v>0.39999999999999997</v>
      </c>
      <c r="H279" s="103">
        <f t="shared" si="28"/>
        <v>5.2910399999999997</v>
      </c>
      <c r="I279" s="68">
        <v>2.4</v>
      </c>
      <c r="J279" s="63"/>
      <c r="K279" s="122">
        <f t="shared" si="33"/>
        <v>2529.2357376000004</v>
      </c>
      <c r="O279" s="112">
        <v>2817.7760000000003</v>
      </c>
    </row>
    <row r="280" spans="1:15">
      <c r="A280" s="63" t="s">
        <v>380</v>
      </c>
      <c r="B280" s="63" t="s">
        <v>158</v>
      </c>
      <c r="C280" s="112">
        <v>502.50096000000002</v>
      </c>
      <c r="D280" s="125">
        <v>0.02</v>
      </c>
      <c r="E280" s="124">
        <v>0.04</v>
      </c>
      <c r="F280" s="119">
        <f t="shared" si="32"/>
        <v>301.50057600000002</v>
      </c>
      <c r="G280" s="5">
        <v>0.4</v>
      </c>
      <c r="H280" s="103">
        <f t="shared" si="28"/>
        <v>4.4092000000000002</v>
      </c>
      <c r="I280" s="68">
        <v>2</v>
      </c>
      <c r="J280" s="63"/>
      <c r="K280" s="122">
        <f t="shared" si="33"/>
        <v>442.20084480000003</v>
      </c>
      <c r="O280" s="112">
        <v>492.64800000000002</v>
      </c>
    </row>
    <row r="281" spans="1:15">
      <c r="A281" s="63" t="s">
        <v>381</v>
      </c>
      <c r="B281" s="63" t="s">
        <v>23</v>
      </c>
      <c r="C281" s="112">
        <v>502.50096000000002</v>
      </c>
      <c r="D281" s="125">
        <v>0.02</v>
      </c>
      <c r="E281" s="124">
        <v>0.04</v>
      </c>
      <c r="F281" s="119">
        <f t="shared" si="32"/>
        <v>301.50057600000002</v>
      </c>
      <c r="G281" s="5">
        <v>0.4</v>
      </c>
      <c r="H281" s="103">
        <f t="shared" si="28"/>
        <v>4.4092000000000002</v>
      </c>
      <c r="I281" s="68">
        <v>2</v>
      </c>
      <c r="J281" s="63"/>
      <c r="K281" s="122">
        <f t="shared" si="33"/>
        <v>442.20084480000003</v>
      </c>
      <c r="O281" s="112">
        <v>492.64800000000002</v>
      </c>
    </row>
    <row r="282" spans="1:15">
      <c r="A282" s="63" t="s">
        <v>382</v>
      </c>
      <c r="B282" s="63" t="s">
        <v>246</v>
      </c>
      <c r="C282" s="112">
        <v>491.46864000000005</v>
      </c>
      <c r="D282" s="125">
        <v>0.02</v>
      </c>
      <c r="E282" s="124">
        <v>0.04</v>
      </c>
      <c r="F282" s="119">
        <f t="shared" si="32"/>
        <v>294.88118400000002</v>
      </c>
      <c r="G282" s="5">
        <v>0.4</v>
      </c>
      <c r="H282" s="103">
        <f t="shared" si="28"/>
        <v>4.4092000000000002</v>
      </c>
      <c r="I282" s="68">
        <v>2</v>
      </c>
      <c r="J282" s="63"/>
      <c r="K282" s="122">
        <f t="shared" si="33"/>
        <v>432.49240320000007</v>
      </c>
      <c r="O282" s="112">
        <v>481.83200000000005</v>
      </c>
    </row>
    <row r="283" spans="1:15">
      <c r="A283" s="63" t="s">
        <v>383</v>
      </c>
      <c r="B283" s="63" t="s">
        <v>247</v>
      </c>
      <c r="C283" s="112">
        <v>491.46864000000005</v>
      </c>
      <c r="D283" s="125">
        <v>0.02</v>
      </c>
      <c r="E283" s="124">
        <v>0.04</v>
      </c>
      <c r="F283" s="119">
        <f t="shared" si="32"/>
        <v>294.88118400000002</v>
      </c>
      <c r="G283" s="5">
        <v>0.4</v>
      </c>
      <c r="H283" s="103">
        <f t="shared" si="28"/>
        <v>4.4092000000000002</v>
      </c>
      <c r="I283" s="68">
        <v>2</v>
      </c>
      <c r="J283" s="63"/>
      <c r="K283" s="122">
        <f t="shared" si="33"/>
        <v>432.49240320000007</v>
      </c>
      <c r="O283" s="112">
        <v>481.83200000000005</v>
      </c>
    </row>
    <row r="284" spans="1:15">
      <c r="A284" s="63" t="s">
        <v>384</v>
      </c>
      <c r="B284" s="63" t="s">
        <v>489</v>
      </c>
      <c r="C284" s="112">
        <v>502.50096000000002</v>
      </c>
      <c r="D284" s="125">
        <v>0.02</v>
      </c>
      <c r="E284" s="124">
        <v>0.04</v>
      </c>
      <c r="F284" s="119">
        <f t="shared" si="32"/>
        <v>301.50057600000002</v>
      </c>
      <c r="G284" s="5">
        <v>0.4</v>
      </c>
      <c r="H284" s="103">
        <f t="shared" si="28"/>
        <v>4.4092000000000002</v>
      </c>
      <c r="I284" s="68">
        <v>2</v>
      </c>
      <c r="J284" s="63"/>
      <c r="K284" s="122">
        <f t="shared" si="33"/>
        <v>442.20084480000003</v>
      </c>
      <c r="O284" s="112">
        <v>492.64800000000002</v>
      </c>
    </row>
    <row r="285" spans="1:15">
      <c r="A285" s="63" t="s">
        <v>385</v>
      </c>
      <c r="B285" s="63" t="s">
        <v>24</v>
      </c>
      <c r="C285" s="112">
        <v>502.50096000000002</v>
      </c>
      <c r="D285" s="125">
        <v>0.02</v>
      </c>
      <c r="E285" s="124">
        <v>0.04</v>
      </c>
      <c r="F285" s="119">
        <f t="shared" si="32"/>
        <v>301.50057600000002</v>
      </c>
      <c r="G285" s="5">
        <v>0.4</v>
      </c>
      <c r="H285" s="103">
        <f t="shared" si="28"/>
        <v>4.4092000000000002</v>
      </c>
      <c r="I285" s="68">
        <v>2</v>
      </c>
      <c r="J285" s="63"/>
      <c r="K285" s="122">
        <f t="shared" si="33"/>
        <v>442.20084480000003</v>
      </c>
      <c r="O285" s="112">
        <v>492.64800000000002</v>
      </c>
    </row>
    <row r="286" spans="1:15">
      <c r="A286" s="63" t="s">
        <v>386</v>
      </c>
      <c r="B286" s="63" t="s">
        <v>25</v>
      </c>
      <c r="C286" s="112">
        <v>502.50096000000002</v>
      </c>
      <c r="D286" s="125">
        <v>0.02</v>
      </c>
      <c r="E286" s="124">
        <v>0.04</v>
      </c>
      <c r="F286" s="119">
        <f t="shared" si="32"/>
        <v>301.50057600000002</v>
      </c>
      <c r="G286" s="5">
        <v>0.4</v>
      </c>
      <c r="H286" s="103">
        <f t="shared" si="28"/>
        <v>4.4092000000000002</v>
      </c>
      <c r="I286" s="68">
        <v>2</v>
      </c>
      <c r="J286" s="63"/>
      <c r="K286" s="122">
        <f t="shared" si="33"/>
        <v>442.20084480000003</v>
      </c>
      <c r="O286" s="112">
        <v>492.64800000000002</v>
      </c>
    </row>
    <row r="287" spans="1:15">
      <c r="A287" s="63" t="s">
        <v>387</v>
      </c>
      <c r="B287" s="63" t="s">
        <v>307</v>
      </c>
      <c r="C287" s="112">
        <v>502.50096000000002</v>
      </c>
      <c r="D287" s="125">
        <v>0.02</v>
      </c>
      <c r="E287" s="124">
        <v>0.04</v>
      </c>
      <c r="F287" s="119">
        <f t="shared" si="32"/>
        <v>301.50057600000002</v>
      </c>
      <c r="G287" s="5">
        <v>0.4</v>
      </c>
      <c r="H287" s="103">
        <f t="shared" si="28"/>
        <v>4.4092000000000002</v>
      </c>
      <c r="I287" s="68">
        <v>2</v>
      </c>
      <c r="J287" s="63"/>
      <c r="K287" s="122">
        <f t="shared" si="33"/>
        <v>442.20084480000003</v>
      </c>
      <c r="O287" s="112">
        <v>492.64800000000002</v>
      </c>
    </row>
    <row r="288" spans="1:15">
      <c r="A288" s="63" t="s">
        <v>388</v>
      </c>
      <c r="B288" s="63" t="s">
        <v>201</v>
      </c>
      <c r="C288" s="112">
        <v>128.67504</v>
      </c>
      <c r="D288" s="125">
        <v>0.02</v>
      </c>
      <c r="E288" s="124">
        <v>0.04</v>
      </c>
      <c r="F288" s="119">
        <f t="shared" si="32"/>
        <v>77.205023999999995</v>
      </c>
      <c r="G288" s="5">
        <v>0.4</v>
      </c>
      <c r="H288" s="103">
        <f t="shared" si="28"/>
        <v>1.1023000000000001</v>
      </c>
      <c r="I288" s="68">
        <v>0.5</v>
      </c>
      <c r="J288" s="63"/>
      <c r="K288" s="122">
        <f t="shared" si="33"/>
        <v>113.23403519999999</v>
      </c>
      <c r="O288" s="112">
        <v>126.152</v>
      </c>
    </row>
    <row r="289" spans="1:15">
      <c r="A289" s="63" t="s">
        <v>111</v>
      </c>
      <c r="B289" s="63" t="s">
        <v>112</v>
      </c>
      <c r="C289" s="112">
        <v>2874.1315200000004</v>
      </c>
      <c r="D289" s="125">
        <v>0.02</v>
      </c>
      <c r="E289" s="124">
        <v>0.04</v>
      </c>
      <c r="F289" s="119">
        <f t="shared" si="32"/>
        <v>1724.4789120000005</v>
      </c>
      <c r="G289" s="5">
        <v>0.39999999999999997</v>
      </c>
      <c r="H289" s="103">
        <f t="shared" si="28"/>
        <v>5.2910399999999997</v>
      </c>
      <c r="I289" s="68">
        <v>2.4</v>
      </c>
      <c r="J289" s="63"/>
      <c r="K289" s="122">
        <f t="shared" si="33"/>
        <v>2529.2357376000004</v>
      </c>
      <c r="O289" s="112">
        <v>2817.7760000000003</v>
      </c>
    </row>
    <row r="290" spans="1:15">
      <c r="A290" s="63" t="s">
        <v>389</v>
      </c>
      <c r="B290" s="63" t="s">
        <v>22</v>
      </c>
      <c r="C290" s="112">
        <v>512.57856000000004</v>
      </c>
      <c r="D290" s="125">
        <v>0.02</v>
      </c>
      <c r="E290" s="124">
        <v>0.04</v>
      </c>
      <c r="F290" s="119">
        <f t="shared" si="32"/>
        <v>307.54713600000002</v>
      </c>
      <c r="G290" s="5">
        <v>0.4</v>
      </c>
      <c r="H290" s="103">
        <f t="shared" si="28"/>
        <v>4.4092000000000002</v>
      </c>
      <c r="I290" s="68">
        <v>2</v>
      </c>
      <c r="J290" s="63"/>
      <c r="K290" s="122">
        <f t="shared" si="33"/>
        <v>451.06913280000003</v>
      </c>
      <c r="O290" s="112">
        <v>502.52800000000002</v>
      </c>
    </row>
    <row r="291" spans="1:15">
      <c r="A291" s="63" t="s">
        <v>390</v>
      </c>
      <c r="B291" s="63" t="s">
        <v>499</v>
      </c>
      <c r="C291" s="112">
        <v>502.50096000000002</v>
      </c>
      <c r="D291" s="125">
        <v>0.02</v>
      </c>
      <c r="E291" s="124">
        <v>0.04</v>
      </c>
      <c r="F291" s="119">
        <f t="shared" si="32"/>
        <v>301.50057600000002</v>
      </c>
      <c r="G291" s="5">
        <v>0.4</v>
      </c>
      <c r="H291" s="103">
        <f t="shared" si="28"/>
        <v>4.4092000000000002</v>
      </c>
      <c r="I291" s="68">
        <v>2</v>
      </c>
      <c r="J291" s="63"/>
      <c r="K291" s="122">
        <f t="shared" si="33"/>
        <v>442.20084480000003</v>
      </c>
      <c r="O291" s="112">
        <v>492.64800000000002</v>
      </c>
    </row>
    <row r="292" spans="1:15">
      <c r="A292" s="63" t="s">
        <v>391</v>
      </c>
      <c r="B292" s="63" t="s">
        <v>500</v>
      </c>
      <c r="C292" s="112">
        <v>528.27840000000003</v>
      </c>
      <c r="D292" s="125">
        <v>0.02</v>
      </c>
      <c r="E292" s="124">
        <v>0.04</v>
      </c>
      <c r="F292" s="119">
        <f t="shared" si="32"/>
        <v>316.96704</v>
      </c>
      <c r="G292" s="5">
        <v>0.4</v>
      </c>
      <c r="H292" s="103">
        <f t="shared" si="28"/>
        <v>4.4092000000000002</v>
      </c>
      <c r="I292" s="68">
        <v>2</v>
      </c>
      <c r="J292" s="63"/>
      <c r="K292" s="122">
        <f t="shared" si="33"/>
        <v>464.88499200000001</v>
      </c>
      <c r="O292" s="112">
        <v>517.92000000000007</v>
      </c>
    </row>
    <row r="293" spans="1:15">
      <c r="A293" s="63" t="s">
        <v>392</v>
      </c>
      <c r="B293" s="63" t="s">
        <v>113</v>
      </c>
      <c r="C293" s="112">
        <v>528.27840000000003</v>
      </c>
      <c r="D293" s="125">
        <v>0.02</v>
      </c>
      <c r="E293" s="124">
        <v>0.04</v>
      </c>
      <c r="F293" s="119">
        <f t="shared" si="32"/>
        <v>316.96704</v>
      </c>
      <c r="G293" s="5">
        <v>0.4</v>
      </c>
      <c r="H293" s="103">
        <f t="shared" si="28"/>
        <v>4.4092000000000002</v>
      </c>
      <c r="I293" s="68">
        <v>2</v>
      </c>
      <c r="J293" s="63"/>
      <c r="K293" s="122">
        <f t="shared" si="33"/>
        <v>464.88499200000001</v>
      </c>
      <c r="O293" s="112">
        <v>517.92000000000007</v>
      </c>
    </row>
    <row r="294" spans="1:15">
      <c r="A294" s="63" t="s">
        <v>393</v>
      </c>
      <c r="B294" s="63" t="s">
        <v>25</v>
      </c>
      <c r="C294" s="112">
        <v>502.50096000000002</v>
      </c>
      <c r="D294" s="125">
        <v>0.02</v>
      </c>
      <c r="E294" s="124">
        <v>0.04</v>
      </c>
      <c r="F294" s="119">
        <f t="shared" si="32"/>
        <v>301.50057600000002</v>
      </c>
      <c r="G294" s="5">
        <v>0.4</v>
      </c>
      <c r="H294" s="103">
        <f t="shared" si="28"/>
        <v>4.4092000000000002</v>
      </c>
      <c r="I294" s="68">
        <v>2</v>
      </c>
      <c r="J294" s="63"/>
      <c r="K294" s="122">
        <f t="shared" si="33"/>
        <v>442.20084480000003</v>
      </c>
      <c r="O294" s="112">
        <v>492.64800000000002</v>
      </c>
    </row>
    <row r="295" spans="1:15">
      <c r="A295" s="63" t="s">
        <v>72</v>
      </c>
      <c r="B295" s="63" t="s">
        <v>202</v>
      </c>
      <c r="C295" s="112">
        <v>5006.7638400000005</v>
      </c>
      <c r="D295" s="125">
        <v>0.02</v>
      </c>
      <c r="E295" s="124">
        <v>0.04</v>
      </c>
      <c r="F295" s="119">
        <f t="shared" si="32"/>
        <v>3004.0583040000001</v>
      </c>
      <c r="G295" s="5">
        <v>0.4</v>
      </c>
      <c r="H295" s="103">
        <f t="shared" si="28"/>
        <v>18.077719999999999</v>
      </c>
      <c r="I295" s="105">
        <v>8.1999999999999993</v>
      </c>
      <c r="J295" s="63"/>
      <c r="K295" s="122">
        <f t="shared" si="33"/>
        <v>4405.9521792000005</v>
      </c>
      <c r="O295" s="112">
        <v>4908.5920000000006</v>
      </c>
    </row>
    <row r="296" spans="1:15">
      <c r="A296" s="63" t="s">
        <v>520</v>
      </c>
      <c r="B296" s="63" t="s">
        <v>521</v>
      </c>
      <c r="C296" s="112">
        <v>258.62304</v>
      </c>
      <c r="D296" s="125">
        <v>0.02</v>
      </c>
      <c r="E296" s="124">
        <v>0.04</v>
      </c>
      <c r="F296" s="119">
        <f t="shared" si="32"/>
        <v>155.173824</v>
      </c>
      <c r="G296" s="5">
        <v>0.4</v>
      </c>
      <c r="H296" s="103">
        <f t="shared" si="28"/>
        <v>2.2046000000000001</v>
      </c>
      <c r="I296" s="105">
        <v>1</v>
      </c>
      <c r="J296" s="63"/>
      <c r="K296" s="122">
        <f t="shared" si="33"/>
        <v>227.5882752</v>
      </c>
      <c r="O296" s="112">
        <v>253.55200000000002</v>
      </c>
    </row>
    <row r="297" spans="1:15">
      <c r="A297" s="63" t="s">
        <v>522</v>
      </c>
      <c r="B297" s="63" t="s">
        <v>523</v>
      </c>
      <c r="C297" s="112">
        <v>236.64000000000001</v>
      </c>
      <c r="D297" s="125">
        <v>0.02</v>
      </c>
      <c r="E297" s="124">
        <v>0</v>
      </c>
      <c r="F297" s="119">
        <f t="shared" si="32"/>
        <v>141.98400000000001</v>
      </c>
      <c r="G297" s="5">
        <v>0.4</v>
      </c>
      <c r="H297" s="103">
        <v>10</v>
      </c>
      <c r="I297" s="105">
        <v>5</v>
      </c>
      <c r="J297" s="63"/>
      <c r="K297" s="122">
        <f t="shared" si="33"/>
        <v>208.2432</v>
      </c>
      <c r="O297" s="112">
        <v>232</v>
      </c>
    </row>
    <row r="298" spans="1:15">
      <c r="A298" s="63" t="s">
        <v>524</v>
      </c>
      <c r="B298" s="63" t="s">
        <v>525</v>
      </c>
      <c r="C298" s="112">
        <v>198.9</v>
      </c>
      <c r="D298" s="125">
        <v>0.02</v>
      </c>
      <c r="E298" s="124">
        <v>0</v>
      </c>
      <c r="F298" s="119">
        <f t="shared" si="32"/>
        <v>119.34</v>
      </c>
      <c r="G298" s="5">
        <v>0.4</v>
      </c>
      <c r="H298" s="103">
        <v>10</v>
      </c>
      <c r="I298" s="105">
        <v>5</v>
      </c>
      <c r="J298" s="63"/>
      <c r="K298" s="122">
        <f t="shared" si="33"/>
        <v>175.03200000000001</v>
      </c>
      <c r="O298" s="112">
        <v>195</v>
      </c>
    </row>
    <row r="299" spans="1:15">
      <c r="A299" s="63" t="s">
        <v>394</v>
      </c>
      <c r="B299" s="63" t="s">
        <v>37</v>
      </c>
      <c r="C299" s="112">
        <v>258.62304</v>
      </c>
      <c r="D299" s="125">
        <v>0.02</v>
      </c>
      <c r="E299" s="124">
        <v>0.04</v>
      </c>
      <c r="F299" s="119">
        <f t="shared" si="32"/>
        <v>155.173824</v>
      </c>
      <c r="G299" s="5">
        <v>0.4</v>
      </c>
      <c r="H299" s="103">
        <f t="shared" si="28"/>
        <v>2.2046000000000001</v>
      </c>
      <c r="I299" s="105">
        <v>1</v>
      </c>
      <c r="J299" s="63"/>
      <c r="K299" s="122">
        <f t="shared" si="33"/>
        <v>227.5882752</v>
      </c>
      <c r="O299" s="112">
        <v>253.55200000000002</v>
      </c>
    </row>
    <row r="300" spans="1:15">
      <c r="A300" s="63" t="s">
        <v>395</v>
      </c>
      <c r="B300" s="63" t="s">
        <v>38</v>
      </c>
      <c r="C300" s="112">
        <v>258.62304</v>
      </c>
      <c r="D300" s="125">
        <v>0.02</v>
      </c>
      <c r="E300" s="124">
        <v>0.04</v>
      </c>
      <c r="F300" s="119">
        <f t="shared" si="32"/>
        <v>155.173824</v>
      </c>
      <c r="G300" s="5">
        <v>0.4</v>
      </c>
      <c r="H300" s="103">
        <f t="shared" si="28"/>
        <v>2.2046000000000001</v>
      </c>
      <c r="I300" s="105">
        <v>1</v>
      </c>
      <c r="J300" s="63"/>
      <c r="K300" s="122">
        <f t="shared" si="33"/>
        <v>227.5882752</v>
      </c>
      <c r="O300" s="112">
        <v>253.55200000000002</v>
      </c>
    </row>
    <row r="301" spans="1:15">
      <c r="A301" s="63" t="s">
        <v>396</v>
      </c>
      <c r="B301" s="63" t="s">
        <v>39</v>
      </c>
      <c r="C301" s="112">
        <v>258.62304</v>
      </c>
      <c r="D301" s="125">
        <v>0.02</v>
      </c>
      <c r="E301" s="124">
        <v>0.04</v>
      </c>
      <c r="F301" s="119">
        <f t="shared" si="32"/>
        <v>155.173824</v>
      </c>
      <c r="G301" s="5">
        <v>0.4</v>
      </c>
      <c r="H301" s="103">
        <f t="shared" si="28"/>
        <v>2.2046000000000001</v>
      </c>
      <c r="I301" s="105">
        <v>1</v>
      </c>
      <c r="J301" s="63"/>
      <c r="K301" s="122">
        <f t="shared" si="33"/>
        <v>227.5882752</v>
      </c>
      <c r="O301" s="112">
        <v>253.55200000000002</v>
      </c>
    </row>
    <row r="302" spans="1:15">
      <c r="A302" s="63" t="s">
        <v>61</v>
      </c>
      <c r="B302" s="63" t="s">
        <v>29</v>
      </c>
      <c r="C302" s="112">
        <v>3059.2411200000006</v>
      </c>
      <c r="D302" s="125">
        <v>0.02</v>
      </c>
      <c r="E302" s="124">
        <v>0.04</v>
      </c>
      <c r="F302" s="119">
        <f t="shared" si="32"/>
        <v>1835.5446720000002</v>
      </c>
      <c r="G302" s="5">
        <v>0.4</v>
      </c>
      <c r="H302" s="103">
        <f t="shared" si="28"/>
        <v>11.904840000000002</v>
      </c>
      <c r="I302" s="68">
        <v>5.4</v>
      </c>
      <c r="J302" s="63"/>
      <c r="K302" s="122">
        <f t="shared" si="33"/>
        <v>2692.1321856000004</v>
      </c>
      <c r="O302" s="112">
        <v>2999.2560000000003</v>
      </c>
    </row>
    <row r="303" spans="1:15">
      <c r="A303" s="63" t="s">
        <v>371</v>
      </c>
      <c r="B303" s="63" t="s">
        <v>237</v>
      </c>
      <c r="C303" s="112">
        <v>188.71632000000002</v>
      </c>
      <c r="D303" s="125">
        <v>0.02</v>
      </c>
      <c r="E303" s="124">
        <v>0.04</v>
      </c>
      <c r="F303" s="119">
        <f t="shared" si="32"/>
        <v>113.22979199999999</v>
      </c>
      <c r="G303" s="5">
        <v>0.40000000000000008</v>
      </c>
      <c r="H303" s="103">
        <f t="shared" si="28"/>
        <v>1.1023000000000001</v>
      </c>
      <c r="I303" s="68">
        <v>0.5</v>
      </c>
      <c r="J303" s="63"/>
      <c r="K303" s="122">
        <f t="shared" si="33"/>
        <v>166.07036160000001</v>
      </c>
      <c r="O303" s="112">
        <v>185.01600000000002</v>
      </c>
    </row>
    <row r="304" spans="1:15">
      <c r="A304" s="63" t="s">
        <v>372</v>
      </c>
      <c r="B304" s="63" t="s">
        <v>238</v>
      </c>
      <c r="C304" s="112">
        <v>188.71632000000002</v>
      </c>
      <c r="D304" s="125">
        <v>0.02</v>
      </c>
      <c r="E304" s="124">
        <v>0.04</v>
      </c>
      <c r="F304" s="119">
        <f t="shared" si="32"/>
        <v>113.22979199999999</v>
      </c>
      <c r="G304" s="5">
        <v>0.40000000000000008</v>
      </c>
      <c r="H304" s="103">
        <f t="shared" si="28"/>
        <v>1.1023000000000001</v>
      </c>
      <c r="I304" s="68">
        <v>0.5</v>
      </c>
      <c r="J304" s="63"/>
      <c r="K304" s="122">
        <f t="shared" si="33"/>
        <v>166.07036160000001</v>
      </c>
      <c r="O304" s="112">
        <v>185.01600000000002</v>
      </c>
    </row>
    <row r="305" spans="1:15">
      <c r="A305" s="63" t="s">
        <v>374</v>
      </c>
      <c r="B305" s="63" t="s">
        <v>239</v>
      </c>
      <c r="C305" s="112">
        <v>188.71632000000002</v>
      </c>
      <c r="D305" s="125">
        <v>0.02</v>
      </c>
      <c r="E305" s="124">
        <v>0.04</v>
      </c>
      <c r="F305" s="119">
        <f t="shared" si="32"/>
        <v>113.22979199999999</v>
      </c>
      <c r="G305" s="5">
        <v>0.40000000000000008</v>
      </c>
      <c r="H305" s="103">
        <f t="shared" si="28"/>
        <v>1.1023000000000001</v>
      </c>
      <c r="I305" s="68">
        <v>0.5</v>
      </c>
      <c r="J305" s="63"/>
      <c r="K305" s="122">
        <f t="shared" si="33"/>
        <v>166.07036160000001</v>
      </c>
      <c r="O305" s="112">
        <v>185.01600000000002</v>
      </c>
    </row>
    <row r="306" spans="1:15">
      <c r="A306" s="63" t="s">
        <v>375</v>
      </c>
      <c r="B306" s="63" t="s">
        <v>240</v>
      </c>
      <c r="C306" s="112">
        <v>188.71632000000002</v>
      </c>
      <c r="D306" s="125">
        <v>0.02</v>
      </c>
      <c r="E306" s="124">
        <v>0.04</v>
      </c>
      <c r="F306" s="119">
        <f t="shared" ref="F306:F330" si="34">C306*(1-G306)</f>
        <v>113.22979199999999</v>
      </c>
      <c r="G306" s="5">
        <v>0.40000000000000008</v>
      </c>
      <c r="H306" s="103">
        <f t="shared" si="28"/>
        <v>1.1023000000000001</v>
      </c>
      <c r="I306" s="68">
        <v>0.5</v>
      </c>
      <c r="J306" s="63"/>
      <c r="K306" s="122">
        <f t="shared" ref="K306:K330" si="35">C306*0.88</f>
        <v>166.07036160000001</v>
      </c>
      <c r="O306" s="112">
        <v>185.01600000000002</v>
      </c>
    </row>
    <row r="307" spans="1:15">
      <c r="A307" s="63" t="s">
        <v>62</v>
      </c>
      <c r="B307" s="63" t="s">
        <v>98</v>
      </c>
      <c r="C307" s="112">
        <v>2526.08304</v>
      </c>
      <c r="D307" s="125">
        <v>0.02</v>
      </c>
      <c r="E307" s="124">
        <v>0.04</v>
      </c>
      <c r="F307" s="119">
        <f t="shared" si="34"/>
        <v>1515.6498239999999</v>
      </c>
      <c r="G307" s="5">
        <v>0.4</v>
      </c>
      <c r="H307" s="103">
        <f t="shared" si="28"/>
        <v>7.9365600000000009</v>
      </c>
      <c r="I307" s="68">
        <v>3.6</v>
      </c>
      <c r="J307" s="63"/>
      <c r="K307" s="122">
        <f t="shared" si="35"/>
        <v>2222.9530752000001</v>
      </c>
      <c r="O307" s="112">
        <v>2476.5520000000001</v>
      </c>
    </row>
    <row r="308" spans="1:15">
      <c r="A308" s="63" t="s">
        <v>376</v>
      </c>
      <c r="B308" s="63" t="s">
        <v>118</v>
      </c>
      <c r="C308" s="112">
        <v>188.71632000000002</v>
      </c>
      <c r="D308" s="125">
        <v>0.02</v>
      </c>
      <c r="E308" s="124">
        <v>0.04</v>
      </c>
      <c r="F308" s="119">
        <f t="shared" si="34"/>
        <v>113.22979199999999</v>
      </c>
      <c r="G308" s="5">
        <v>0.40000000000000008</v>
      </c>
      <c r="H308" s="103">
        <f>I308*2.2046</f>
        <v>1.1023000000000001</v>
      </c>
      <c r="I308" s="68">
        <v>0.5</v>
      </c>
      <c r="J308" s="63"/>
      <c r="K308" s="122">
        <f t="shared" si="35"/>
        <v>166.07036160000001</v>
      </c>
      <c r="O308" s="112">
        <v>185.01600000000002</v>
      </c>
    </row>
    <row r="309" spans="1:15">
      <c r="A309" s="63" t="s">
        <v>377</v>
      </c>
      <c r="B309" s="63" t="s">
        <v>313</v>
      </c>
      <c r="C309" s="112">
        <v>188.71632000000002</v>
      </c>
      <c r="D309" s="125">
        <v>0.02</v>
      </c>
      <c r="E309" s="124">
        <v>0.04</v>
      </c>
      <c r="F309" s="119">
        <f t="shared" si="34"/>
        <v>113.22979199999999</v>
      </c>
      <c r="G309" s="5">
        <v>0.40000000000000008</v>
      </c>
      <c r="H309" s="103">
        <f>I309*2.2046</f>
        <v>1.1023000000000001</v>
      </c>
      <c r="I309" s="68">
        <v>0.5</v>
      </c>
      <c r="J309" s="63"/>
      <c r="K309" s="122">
        <f t="shared" si="35"/>
        <v>166.07036160000001</v>
      </c>
      <c r="O309" s="112">
        <v>185.01600000000002</v>
      </c>
    </row>
    <row r="310" spans="1:15">
      <c r="A310" s="23" t="s">
        <v>250</v>
      </c>
      <c r="B310" s="61" t="s">
        <v>251</v>
      </c>
      <c r="C310" s="114">
        <v>169.983</v>
      </c>
      <c r="D310" s="125">
        <v>0.02</v>
      </c>
      <c r="E310" s="124">
        <v>0.04</v>
      </c>
      <c r="F310" s="119">
        <f t="shared" si="34"/>
        <v>101.98979999999997</v>
      </c>
      <c r="G310" s="5">
        <v>0.40000000000000008</v>
      </c>
      <c r="H310" s="103">
        <f t="shared" ref="H310:H311" si="36">I310*2.2046</f>
        <v>2.2046000000000001</v>
      </c>
      <c r="I310" s="100">
        <v>1</v>
      </c>
      <c r="J310" s="63"/>
      <c r="K310" s="122">
        <f t="shared" si="35"/>
        <v>149.58503999999999</v>
      </c>
      <c r="O310" s="114">
        <v>166.65</v>
      </c>
    </row>
    <row r="311" spans="1:15">
      <c r="A311" s="23" t="s">
        <v>252</v>
      </c>
      <c r="B311" s="61" t="s">
        <v>253</v>
      </c>
      <c r="C311" s="114">
        <v>169.983</v>
      </c>
      <c r="D311" s="125">
        <v>0.02</v>
      </c>
      <c r="E311" s="124">
        <v>0.04</v>
      </c>
      <c r="F311" s="119">
        <f t="shared" si="34"/>
        <v>101.98979999999997</v>
      </c>
      <c r="G311" s="5">
        <v>0.40000000000000008</v>
      </c>
      <c r="H311" s="103">
        <f t="shared" si="36"/>
        <v>2.2046000000000001</v>
      </c>
      <c r="I311" s="100">
        <v>1</v>
      </c>
      <c r="J311" s="63"/>
      <c r="K311" s="122">
        <f t="shared" si="35"/>
        <v>149.58503999999999</v>
      </c>
      <c r="O311" s="114">
        <v>166.65</v>
      </c>
    </row>
    <row r="312" spans="1:15">
      <c r="A312" s="23" t="s">
        <v>305</v>
      </c>
      <c r="B312" s="61" t="s">
        <v>306</v>
      </c>
      <c r="C312" s="114">
        <v>169.983</v>
      </c>
      <c r="D312" s="125">
        <v>0.02</v>
      </c>
      <c r="E312" s="124">
        <v>0.04</v>
      </c>
      <c r="F312" s="119">
        <f t="shared" si="34"/>
        <v>101.98979999999997</v>
      </c>
      <c r="G312" s="5">
        <v>0.40000000000000008</v>
      </c>
      <c r="H312" s="6">
        <v>1</v>
      </c>
      <c r="I312" s="68">
        <v>0.5</v>
      </c>
      <c r="J312" s="68"/>
      <c r="K312" s="122">
        <f t="shared" si="35"/>
        <v>149.58503999999999</v>
      </c>
      <c r="O312" s="114">
        <v>166.65</v>
      </c>
    </row>
    <row r="313" spans="1:15">
      <c r="A313" s="63" t="s">
        <v>63</v>
      </c>
      <c r="B313" s="63" t="s">
        <v>99</v>
      </c>
      <c r="C313" s="112">
        <v>2861.9323200000003</v>
      </c>
      <c r="D313" s="125">
        <v>0.02</v>
      </c>
      <c r="E313" s="124">
        <v>0.04</v>
      </c>
      <c r="F313" s="119">
        <f t="shared" si="34"/>
        <v>1717.1593920000003</v>
      </c>
      <c r="G313" s="5">
        <v>0.4</v>
      </c>
      <c r="H313" s="103">
        <f>I313*2.2046</f>
        <v>7.2751799999999998</v>
      </c>
      <c r="I313" s="68">
        <v>3.3</v>
      </c>
      <c r="J313" s="63"/>
      <c r="K313" s="122">
        <f t="shared" si="35"/>
        <v>2518.5004416000002</v>
      </c>
      <c r="O313" s="112">
        <v>2805.8160000000003</v>
      </c>
    </row>
    <row r="314" spans="1:15">
      <c r="A314" s="63" t="s">
        <v>378</v>
      </c>
      <c r="B314" s="63" t="s">
        <v>518</v>
      </c>
      <c r="C314" s="112">
        <v>188.71632000000002</v>
      </c>
      <c r="D314" s="125">
        <v>0.02</v>
      </c>
      <c r="E314" s="124">
        <v>0.04</v>
      </c>
      <c r="F314" s="119">
        <f t="shared" si="34"/>
        <v>113.22979199999999</v>
      </c>
      <c r="G314" s="5">
        <v>0.40000000000000008</v>
      </c>
      <c r="H314" s="103">
        <f>I314*2.2046</f>
        <v>1.1023000000000001</v>
      </c>
      <c r="I314" s="68">
        <v>0.5</v>
      </c>
      <c r="J314" s="63"/>
      <c r="K314" s="122">
        <f t="shared" si="35"/>
        <v>166.07036160000001</v>
      </c>
      <c r="O314" s="112">
        <v>185.01600000000002</v>
      </c>
    </row>
    <row r="315" spans="1:15">
      <c r="A315" s="63" t="s">
        <v>379</v>
      </c>
      <c r="B315" s="63" t="s">
        <v>40</v>
      </c>
      <c r="C315" s="112">
        <v>188.71632000000002</v>
      </c>
      <c r="D315" s="125">
        <v>0.02</v>
      </c>
      <c r="E315" s="124">
        <v>0.04</v>
      </c>
      <c r="F315" s="119">
        <f t="shared" si="34"/>
        <v>113.22979199999999</v>
      </c>
      <c r="G315" s="5">
        <v>0.40000000000000008</v>
      </c>
      <c r="H315" s="103">
        <f>I315*2.2046</f>
        <v>1.1023000000000001</v>
      </c>
      <c r="I315" s="68">
        <v>0.5</v>
      </c>
      <c r="J315" s="63"/>
      <c r="K315" s="122">
        <f t="shared" si="35"/>
        <v>166.07036160000001</v>
      </c>
      <c r="O315" s="112">
        <v>185.01600000000002</v>
      </c>
    </row>
    <row r="316" spans="1:15">
      <c r="A316" s="63" t="s">
        <v>64</v>
      </c>
      <c r="B316" s="63" t="s">
        <v>19</v>
      </c>
      <c r="C316" s="112">
        <v>3451.4188800000002</v>
      </c>
      <c r="D316" s="125">
        <v>0.02</v>
      </c>
      <c r="E316" s="124">
        <v>0.04</v>
      </c>
      <c r="F316" s="119">
        <f t="shared" si="34"/>
        <v>2070.8513280000002</v>
      </c>
      <c r="G316" s="5">
        <v>0.4</v>
      </c>
      <c r="H316" s="103">
        <f t="shared" ref="H316:H390" si="37">I316*2.2046</f>
        <v>8.3774800000000003</v>
      </c>
      <c r="I316" s="105">
        <v>3.8</v>
      </c>
      <c r="J316" s="63"/>
      <c r="K316" s="122">
        <f t="shared" si="35"/>
        <v>3037.2486144</v>
      </c>
      <c r="O316" s="112">
        <v>3383.7440000000001</v>
      </c>
    </row>
    <row r="317" spans="1:15">
      <c r="A317" s="63" t="s">
        <v>66</v>
      </c>
      <c r="B317" s="63" t="s">
        <v>44</v>
      </c>
      <c r="C317" s="112">
        <v>817.55856000000006</v>
      </c>
      <c r="D317" s="125">
        <v>0.02</v>
      </c>
      <c r="E317" s="124">
        <v>0.04</v>
      </c>
      <c r="F317" s="119">
        <f t="shared" si="34"/>
        <v>490.53513599999991</v>
      </c>
      <c r="G317" s="5">
        <v>0.40000000000000008</v>
      </c>
      <c r="H317" s="103">
        <f t="shared" si="37"/>
        <v>3.5273600000000003</v>
      </c>
      <c r="I317" s="68">
        <v>1.6</v>
      </c>
      <c r="J317" s="63"/>
      <c r="K317" s="122">
        <f t="shared" si="35"/>
        <v>719.45153280000011</v>
      </c>
      <c r="O317" s="112">
        <v>801.52800000000002</v>
      </c>
    </row>
    <row r="318" spans="1:15">
      <c r="A318" s="63" t="s">
        <v>334</v>
      </c>
      <c r="B318" s="63" t="s">
        <v>12</v>
      </c>
      <c r="C318" s="112">
        <v>27.52572</v>
      </c>
      <c r="D318" s="125">
        <v>0.02</v>
      </c>
      <c r="E318" s="124">
        <v>0.03</v>
      </c>
      <c r="F318" s="119">
        <f t="shared" si="34"/>
        <v>15.139146</v>
      </c>
      <c r="G318" s="5">
        <v>0.45</v>
      </c>
      <c r="H318" s="103">
        <v>1</v>
      </c>
      <c r="I318" s="100">
        <v>0.5</v>
      </c>
      <c r="J318" s="63"/>
      <c r="K318" s="122">
        <f t="shared" si="35"/>
        <v>24.222633599999998</v>
      </c>
      <c r="O318" s="112">
        <v>26.986000000000001</v>
      </c>
    </row>
    <row r="319" spans="1:15">
      <c r="A319" s="63" t="s">
        <v>335</v>
      </c>
      <c r="B319" s="63" t="s">
        <v>14</v>
      </c>
      <c r="C319" s="112">
        <v>27.52572</v>
      </c>
      <c r="D319" s="125">
        <v>0.02</v>
      </c>
      <c r="E319" s="124">
        <v>0.03</v>
      </c>
      <c r="F319" s="119">
        <f t="shared" si="34"/>
        <v>15.139146</v>
      </c>
      <c r="G319" s="5">
        <v>0.45</v>
      </c>
      <c r="H319" s="103">
        <v>1</v>
      </c>
      <c r="I319" s="100">
        <v>0.5</v>
      </c>
      <c r="J319" s="63"/>
      <c r="K319" s="122">
        <f t="shared" si="35"/>
        <v>24.222633599999998</v>
      </c>
      <c r="O319" s="112">
        <v>26.986000000000001</v>
      </c>
    </row>
    <row r="320" spans="1:15">
      <c r="A320" s="63" t="s">
        <v>58</v>
      </c>
      <c r="B320" s="63" t="s">
        <v>498</v>
      </c>
      <c r="C320" s="112">
        <v>1773.5515200000002</v>
      </c>
      <c r="D320" s="125">
        <v>0.02</v>
      </c>
      <c r="E320" s="124">
        <v>0.04</v>
      </c>
      <c r="F320" s="119">
        <f t="shared" si="34"/>
        <v>1064.1309120000003</v>
      </c>
      <c r="G320" s="5">
        <v>0.39999999999999997</v>
      </c>
      <c r="H320" s="103">
        <f t="shared" si="37"/>
        <v>3.5273600000000003</v>
      </c>
      <c r="I320" s="68">
        <v>1.6</v>
      </c>
      <c r="J320" s="63"/>
      <c r="K320" s="122">
        <f t="shared" si="35"/>
        <v>1560.7253376000001</v>
      </c>
      <c r="O320" s="112">
        <v>1738.7760000000001</v>
      </c>
    </row>
    <row r="321" spans="1:15">
      <c r="A321" s="63" t="s">
        <v>67</v>
      </c>
      <c r="B321" s="63" t="s">
        <v>43</v>
      </c>
      <c r="C321" s="112">
        <v>1375.2211200000002</v>
      </c>
      <c r="D321" s="125">
        <v>0.02</v>
      </c>
      <c r="E321" s="124">
        <v>0.04</v>
      </c>
      <c r="F321" s="119">
        <f t="shared" si="34"/>
        <v>825.13267200000018</v>
      </c>
      <c r="G321" s="5">
        <v>0.39999999999999997</v>
      </c>
      <c r="H321" s="103">
        <f t="shared" si="37"/>
        <v>2.6455199999999999</v>
      </c>
      <c r="I321" s="68">
        <v>1.2</v>
      </c>
      <c r="J321" s="63"/>
      <c r="K321" s="122">
        <f t="shared" si="35"/>
        <v>1210.1945856000002</v>
      </c>
      <c r="O321" s="112">
        <v>1348.2560000000001</v>
      </c>
    </row>
    <row r="322" spans="1:15">
      <c r="A322" s="63" t="s">
        <v>56</v>
      </c>
      <c r="B322" s="63" t="s">
        <v>197</v>
      </c>
      <c r="C322" s="112">
        <v>2882.7240000000002</v>
      </c>
      <c r="D322" s="125">
        <v>0.02</v>
      </c>
      <c r="E322" s="124">
        <v>0.04</v>
      </c>
      <c r="F322" s="119">
        <f t="shared" si="34"/>
        <v>1729.6344000000004</v>
      </c>
      <c r="G322" s="5">
        <v>0.39999999999999997</v>
      </c>
      <c r="H322" s="103">
        <f t="shared" si="37"/>
        <v>7.0547200000000005</v>
      </c>
      <c r="I322" s="68">
        <v>3.2</v>
      </c>
      <c r="J322" s="63"/>
      <c r="K322" s="122">
        <f t="shared" si="35"/>
        <v>2536.7971200000002</v>
      </c>
      <c r="O322" s="112">
        <v>2826.2000000000003</v>
      </c>
    </row>
    <row r="323" spans="1:15">
      <c r="A323" s="63" t="s">
        <v>368</v>
      </c>
      <c r="B323" s="63" t="s">
        <v>198</v>
      </c>
      <c r="C323" s="112">
        <v>97.495680000000007</v>
      </c>
      <c r="D323" s="125">
        <v>0.02</v>
      </c>
      <c r="E323" s="124">
        <v>0.03</v>
      </c>
      <c r="F323" s="119">
        <f t="shared" si="34"/>
        <v>53.622624000000009</v>
      </c>
      <c r="G323" s="5">
        <v>0.45</v>
      </c>
      <c r="H323" s="103">
        <f t="shared" si="37"/>
        <v>2.2046000000000001</v>
      </c>
      <c r="I323" s="100">
        <v>1</v>
      </c>
      <c r="J323" s="63"/>
      <c r="K323" s="122">
        <f t="shared" si="35"/>
        <v>85.796198400000009</v>
      </c>
      <c r="O323" s="112">
        <v>95.584000000000003</v>
      </c>
    </row>
    <row r="324" spans="1:15">
      <c r="A324" s="63" t="s">
        <v>10</v>
      </c>
      <c r="B324" s="63" t="s">
        <v>199</v>
      </c>
      <c r="C324" s="112">
        <v>97.495680000000007</v>
      </c>
      <c r="D324" s="125">
        <v>0.02</v>
      </c>
      <c r="E324" s="124">
        <v>0.03</v>
      </c>
      <c r="F324" s="119">
        <f t="shared" si="34"/>
        <v>53.622624000000009</v>
      </c>
      <c r="G324" s="5">
        <v>0.45</v>
      </c>
      <c r="H324" s="103">
        <f t="shared" si="37"/>
        <v>2.2046000000000001</v>
      </c>
      <c r="I324" s="100">
        <v>1</v>
      </c>
      <c r="J324" s="63"/>
      <c r="K324" s="122">
        <f t="shared" si="35"/>
        <v>85.796198400000009</v>
      </c>
      <c r="O324" s="112">
        <v>95.584000000000003</v>
      </c>
    </row>
    <row r="325" spans="1:15">
      <c r="A325" s="63" t="s">
        <v>369</v>
      </c>
      <c r="B325" s="63" t="s">
        <v>156</v>
      </c>
      <c r="C325" s="112">
        <v>252.47040000000001</v>
      </c>
      <c r="D325" s="125">
        <v>0.02</v>
      </c>
      <c r="E325" s="124">
        <v>0.04</v>
      </c>
      <c r="F325" s="119">
        <f t="shared" si="34"/>
        <v>151.48223999999999</v>
      </c>
      <c r="G325" s="5">
        <v>0.4</v>
      </c>
      <c r="H325" s="103">
        <v>2</v>
      </c>
      <c r="I325" s="100">
        <v>1</v>
      </c>
      <c r="J325" s="63"/>
      <c r="K325" s="122">
        <f t="shared" si="35"/>
        <v>222.17395200000001</v>
      </c>
      <c r="O325" s="112">
        <v>247.52</v>
      </c>
    </row>
    <row r="326" spans="1:15">
      <c r="A326" s="63" t="s">
        <v>57</v>
      </c>
      <c r="B326" s="63" t="s">
        <v>203</v>
      </c>
      <c r="C326" s="112">
        <v>2126.4796800000004</v>
      </c>
      <c r="D326" s="125">
        <v>0.02</v>
      </c>
      <c r="E326" s="124">
        <v>0.04</v>
      </c>
      <c r="F326" s="119">
        <f t="shared" si="34"/>
        <v>1275.8878080000002</v>
      </c>
      <c r="G326" s="5">
        <v>0.4</v>
      </c>
      <c r="H326" s="103">
        <f t="shared" si="37"/>
        <v>5.7319600000000008</v>
      </c>
      <c r="I326" s="68">
        <v>2.6</v>
      </c>
      <c r="J326" s="63"/>
      <c r="K326" s="122">
        <f t="shared" si="35"/>
        <v>1871.3021184000004</v>
      </c>
      <c r="O326" s="112">
        <v>2084.7840000000001</v>
      </c>
    </row>
    <row r="327" spans="1:15">
      <c r="A327" s="23" t="s">
        <v>250</v>
      </c>
      <c r="B327" s="61" t="s">
        <v>251</v>
      </c>
      <c r="C327" s="114">
        <v>169.983</v>
      </c>
      <c r="D327" s="125">
        <v>0.02</v>
      </c>
      <c r="E327" s="124">
        <v>0.04</v>
      </c>
      <c r="F327" s="119">
        <f t="shared" si="34"/>
        <v>101.98979999999997</v>
      </c>
      <c r="G327" s="5">
        <v>0.40000000000000008</v>
      </c>
      <c r="H327" s="103">
        <f t="shared" si="37"/>
        <v>2.2046000000000001</v>
      </c>
      <c r="I327" s="100">
        <v>1</v>
      </c>
      <c r="J327" s="63"/>
      <c r="K327" s="122">
        <f t="shared" si="35"/>
        <v>149.58503999999999</v>
      </c>
      <c r="O327" s="114">
        <v>166.65</v>
      </c>
    </row>
    <row r="328" spans="1:15">
      <c r="A328" s="23" t="s">
        <v>252</v>
      </c>
      <c r="B328" s="61" t="s">
        <v>253</v>
      </c>
      <c r="C328" s="114">
        <v>169.983</v>
      </c>
      <c r="D328" s="125">
        <v>0.02</v>
      </c>
      <c r="E328" s="124">
        <v>0.04</v>
      </c>
      <c r="F328" s="119">
        <f t="shared" si="34"/>
        <v>101.98979999999997</v>
      </c>
      <c r="G328" s="5">
        <v>0.40000000000000008</v>
      </c>
      <c r="H328" s="103">
        <f t="shared" si="37"/>
        <v>2.2046000000000001</v>
      </c>
      <c r="I328" s="100">
        <v>1</v>
      </c>
      <c r="J328" s="63"/>
      <c r="K328" s="122">
        <f t="shared" si="35"/>
        <v>149.58503999999999</v>
      </c>
      <c r="O328" s="114">
        <v>166.65</v>
      </c>
    </row>
    <row r="329" spans="1:15">
      <c r="A329" s="23" t="s">
        <v>305</v>
      </c>
      <c r="B329" s="61" t="s">
        <v>306</v>
      </c>
      <c r="C329" s="114">
        <v>169.983</v>
      </c>
      <c r="D329" s="125">
        <v>0.02</v>
      </c>
      <c r="E329" s="124">
        <v>0.04</v>
      </c>
      <c r="F329" s="119">
        <f t="shared" si="34"/>
        <v>101.98979999999997</v>
      </c>
      <c r="G329" s="5">
        <v>0.40000000000000008</v>
      </c>
      <c r="H329" s="6">
        <v>1</v>
      </c>
      <c r="I329" s="68">
        <v>0.5</v>
      </c>
      <c r="J329" s="68"/>
      <c r="K329" s="122">
        <f t="shared" si="35"/>
        <v>149.58503999999999</v>
      </c>
      <c r="O329" s="114">
        <v>166.65</v>
      </c>
    </row>
    <row r="330" spans="1:15">
      <c r="A330" s="63" t="s">
        <v>326</v>
      </c>
      <c r="B330" s="63" t="s">
        <v>290</v>
      </c>
      <c r="C330" s="112">
        <v>63.754080000000009</v>
      </c>
      <c r="D330" s="125">
        <v>0.02</v>
      </c>
      <c r="E330" s="124">
        <v>0.04</v>
      </c>
      <c r="F330" s="119">
        <f t="shared" si="34"/>
        <v>35.064744000000005</v>
      </c>
      <c r="G330" s="5">
        <v>0.45</v>
      </c>
      <c r="H330" s="103">
        <f t="shared" si="37"/>
        <v>7.0547200000000005</v>
      </c>
      <c r="I330" s="100">
        <v>3.2</v>
      </c>
      <c r="J330" s="63"/>
      <c r="K330" s="122">
        <f t="shared" si="35"/>
        <v>56.103590400000009</v>
      </c>
      <c r="O330" s="112">
        <v>62.504000000000005</v>
      </c>
    </row>
    <row r="331" spans="1:15">
      <c r="A331" s="63"/>
      <c r="B331" s="63"/>
      <c r="C331" s="112"/>
      <c r="D331" s="126"/>
      <c r="E331" s="124"/>
      <c r="F331" s="119"/>
      <c r="G331" s="5"/>
      <c r="H331" s="103"/>
      <c r="I331" s="100"/>
      <c r="J331" s="63"/>
      <c r="K331" s="122"/>
      <c r="O331" s="112"/>
    </row>
    <row r="332" spans="1:15">
      <c r="A332" s="63"/>
      <c r="B332" s="63"/>
      <c r="C332" s="112"/>
      <c r="D332" s="126"/>
      <c r="E332" s="124"/>
      <c r="F332" s="119"/>
      <c r="G332" s="5"/>
      <c r="H332" s="103"/>
      <c r="I332" s="100"/>
      <c r="J332" s="63"/>
      <c r="K332" s="122"/>
      <c r="O332" s="112"/>
    </row>
    <row r="333" spans="1:15" s="70" customFormat="1" ht="18.75">
      <c r="A333" s="79" t="s">
        <v>46</v>
      </c>
      <c r="B333" s="63"/>
      <c r="C333" s="112"/>
      <c r="D333" s="126"/>
      <c r="E333" s="124"/>
      <c r="F333" s="119"/>
      <c r="G333" s="5"/>
      <c r="H333" s="103"/>
      <c r="I333" s="100"/>
      <c r="J333" s="63"/>
      <c r="K333" s="122"/>
      <c r="O333" s="112"/>
    </row>
    <row r="334" spans="1:15">
      <c r="A334" s="64" t="s">
        <v>74</v>
      </c>
      <c r="B334" s="64" t="s">
        <v>547</v>
      </c>
      <c r="C334" s="112">
        <v>8773.0281600000017</v>
      </c>
      <c r="D334" s="125">
        <v>0.02</v>
      </c>
      <c r="E334" s="124">
        <v>0.04</v>
      </c>
      <c r="F334" s="119">
        <f t="shared" ref="F334:F365" si="38">C334*(1-G334)</f>
        <v>5263.8168960000003</v>
      </c>
      <c r="G334" s="5">
        <v>0.40000000000000008</v>
      </c>
      <c r="H334" s="103">
        <f t="shared" si="37"/>
        <v>202.82320000000001</v>
      </c>
      <c r="I334" s="68">
        <v>92</v>
      </c>
      <c r="J334" s="63"/>
      <c r="K334" s="122">
        <f t="shared" ref="K334:K365" si="39">C334*0.88</f>
        <v>7720.2647808000011</v>
      </c>
      <c r="O334" s="112">
        <v>8601.0080000000016</v>
      </c>
    </row>
    <row r="335" spans="1:15">
      <c r="A335" s="64" t="s">
        <v>180</v>
      </c>
      <c r="B335" s="64" t="s">
        <v>181</v>
      </c>
      <c r="C335" s="112">
        <v>8773.0281600000017</v>
      </c>
      <c r="D335" s="125">
        <v>0.02</v>
      </c>
      <c r="E335" s="124">
        <v>0.04</v>
      </c>
      <c r="F335" s="119">
        <f t="shared" si="38"/>
        <v>5263.8168960000003</v>
      </c>
      <c r="G335" s="5">
        <v>0.40000000000000008</v>
      </c>
      <c r="H335" s="103">
        <f t="shared" si="37"/>
        <v>202.82320000000001</v>
      </c>
      <c r="I335" s="68">
        <v>92</v>
      </c>
      <c r="J335" s="63"/>
      <c r="K335" s="122">
        <f t="shared" si="39"/>
        <v>7720.2647808000011</v>
      </c>
      <c r="O335" s="112">
        <v>8601.0080000000016</v>
      </c>
    </row>
    <row r="336" spans="1:15">
      <c r="A336" s="64" t="s">
        <v>75</v>
      </c>
      <c r="B336" s="64" t="s">
        <v>548</v>
      </c>
      <c r="C336" s="112">
        <v>12755.165280000001</v>
      </c>
      <c r="D336" s="125">
        <v>0.02</v>
      </c>
      <c r="E336" s="124">
        <v>0.04</v>
      </c>
      <c r="F336" s="119">
        <f t="shared" si="38"/>
        <v>7653.0991680000016</v>
      </c>
      <c r="G336" s="5">
        <v>0.39999999999999997</v>
      </c>
      <c r="H336" s="103">
        <f t="shared" si="37"/>
        <v>286.59800000000001</v>
      </c>
      <c r="I336" s="100">
        <v>130</v>
      </c>
      <c r="J336" s="63"/>
      <c r="K336" s="122">
        <f t="shared" si="39"/>
        <v>11224.545446400001</v>
      </c>
      <c r="O336" s="112">
        <v>12505.064</v>
      </c>
    </row>
    <row r="337" spans="1:15">
      <c r="A337" s="64" t="s">
        <v>182</v>
      </c>
      <c r="B337" s="64" t="s">
        <v>183</v>
      </c>
      <c r="C337" s="112">
        <v>12755.165280000001</v>
      </c>
      <c r="D337" s="125">
        <v>0.02</v>
      </c>
      <c r="E337" s="124">
        <v>0.04</v>
      </c>
      <c r="F337" s="119">
        <f t="shared" si="38"/>
        <v>7653.0991680000016</v>
      </c>
      <c r="G337" s="5">
        <v>0.39999999999999997</v>
      </c>
      <c r="H337" s="103">
        <f t="shared" si="37"/>
        <v>286.59800000000001</v>
      </c>
      <c r="I337" s="100">
        <v>130</v>
      </c>
      <c r="J337" s="63"/>
      <c r="K337" s="122">
        <f t="shared" si="39"/>
        <v>11224.545446400001</v>
      </c>
      <c r="O337" s="112">
        <v>12505.064</v>
      </c>
    </row>
    <row r="338" spans="1:15" ht="30">
      <c r="A338" s="77" t="s">
        <v>311</v>
      </c>
      <c r="B338" s="78" t="s">
        <v>312</v>
      </c>
      <c r="C338" s="116">
        <v>235.72200000000001</v>
      </c>
      <c r="D338" s="125">
        <v>0.02</v>
      </c>
      <c r="E338" s="124">
        <v>0</v>
      </c>
      <c r="F338" s="120">
        <f t="shared" si="38"/>
        <v>141.4332</v>
      </c>
      <c r="G338" s="71">
        <v>0.4</v>
      </c>
      <c r="H338" s="103">
        <v>5</v>
      </c>
      <c r="I338" s="100">
        <v>2.5</v>
      </c>
      <c r="J338" s="92"/>
      <c r="K338" s="122">
        <f t="shared" si="39"/>
        <v>207.43536</v>
      </c>
      <c r="O338" s="116">
        <v>231.1</v>
      </c>
    </row>
    <row r="339" spans="1:15">
      <c r="A339" s="63" t="s">
        <v>76</v>
      </c>
      <c r="B339" s="63" t="s">
        <v>204</v>
      </c>
      <c r="C339" s="112">
        <v>2856.9465599999999</v>
      </c>
      <c r="D339" s="125">
        <v>0.02</v>
      </c>
      <c r="E339" s="124">
        <v>0.04</v>
      </c>
      <c r="F339" s="119">
        <f t="shared" si="38"/>
        <v>1714.1679359999998</v>
      </c>
      <c r="G339" s="5">
        <v>0.4</v>
      </c>
      <c r="H339" s="103">
        <f t="shared" si="37"/>
        <v>7.9365600000000009</v>
      </c>
      <c r="I339" s="68">
        <v>3.6</v>
      </c>
      <c r="J339" s="63"/>
      <c r="K339" s="122">
        <f t="shared" si="39"/>
        <v>2514.1129728000001</v>
      </c>
      <c r="O339" s="112">
        <v>2800.9279999999999</v>
      </c>
    </row>
    <row r="340" spans="1:15">
      <c r="A340" s="63" t="s">
        <v>77</v>
      </c>
      <c r="B340" s="63" t="s">
        <v>205</v>
      </c>
      <c r="C340" s="112">
        <v>3592.3992000000003</v>
      </c>
      <c r="D340" s="125">
        <v>0.02</v>
      </c>
      <c r="E340" s="124">
        <v>0.04</v>
      </c>
      <c r="F340" s="119">
        <f t="shared" si="38"/>
        <v>2155.4395199999999</v>
      </c>
      <c r="G340" s="5">
        <v>0.4</v>
      </c>
      <c r="H340" s="103">
        <f t="shared" si="37"/>
        <v>10.141159999999999</v>
      </c>
      <c r="I340" s="68">
        <v>4.5999999999999996</v>
      </c>
      <c r="J340" s="63"/>
      <c r="K340" s="122">
        <f t="shared" si="39"/>
        <v>3161.3112960000003</v>
      </c>
      <c r="O340" s="112">
        <v>3521.96</v>
      </c>
    </row>
    <row r="341" spans="1:15">
      <c r="A341" s="63" t="s">
        <v>397</v>
      </c>
      <c r="B341" s="63" t="s">
        <v>119</v>
      </c>
      <c r="C341" s="112">
        <v>1122.64464</v>
      </c>
      <c r="D341" s="125">
        <v>0.02</v>
      </c>
      <c r="E341" s="124">
        <v>0.04</v>
      </c>
      <c r="F341" s="119">
        <f t="shared" si="38"/>
        <v>673.58678399999985</v>
      </c>
      <c r="G341" s="5">
        <v>0.40000000000000008</v>
      </c>
      <c r="H341" s="103">
        <f t="shared" si="37"/>
        <v>6.6138000000000003</v>
      </c>
      <c r="I341" s="68">
        <v>3</v>
      </c>
      <c r="J341" s="63"/>
      <c r="K341" s="122">
        <f t="shared" si="39"/>
        <v>987.92728320000003</v>
      </c>
      <c r="O341" s="112">
        <v>1100.6320000000001</v>
      </c>
    </row>
    <row r="342" spans="1:15">
      <c r="A342" s="63" t="s">
        <v>78</v>
      </c>
      <c r="B342" s="63" t="s">
        <v>206</v>
      </c>
      <c r="C342" s="112">
        <v>892.23887999999999</v>
      </c>
      <c r="D342" s="125">
        <v>0.02</v>
      </c>
      <c r="E342" s="124">
        <v>0.04</v>
      </c>
      <c r="F342" s="119">
        <f t="shared" si="38"/>
        <v>535.34332799999993</v>
      </c>
      <c r="G342" s="5">
        <v>0.4</v>
      </c>
      <c r="H342" s="103">
        <f t="shared" si="37"/>
        <v>6.6138000000000003</v>
      </c>
      <c r="I342" s="68">
        <v>3</v>
      </c>
      <c r="J342" s="63"/>
      <c r="K342" s="122">
        <f t="shared" si="39"/>
        <v>785.17021439999996</v>
      </c>
      <c r="O342" s="112">
        <v>874.74400000000003</v>
      </c>
    </row>
    <row r="343" spans="1:15">
      <c r="A343" s="63" t="s">
        <v>398</v>
      </c>
      <c r="B343" s="63" t="s">
        <v>148</v>
      </c>
      <c r="C343" s="112">
        <v>252.47040000000001</v>
      </c>
      <c r="D343" s="125">
        <v>0.02</v>
      </c>
      <c r="E343" s="124">
        <v>0.04</v>
      </c>
      <c r="F343" s="119">
        <f t="shared" si="38"/>
        <v>151.48223999999999</v>
      </c>
      <c r="G343" s="5">
        <v>0.4</v>
      </c>
      <c r="H343" s="103">
        <v>2</v>
      </c>
      <c r="I343" s="100">
        <v>1</v>
      </c>
      <c r="J343" s="63"/>
      <c r="K343" s="122">
        <f t="shared" si="39"/>
        <v>222.17395200000001</v>
      </c>
      <c r="O343" s="112">
        <v>247.52</v>
      </c>
    </row>
    <row r="344" spans="1:15">
      <c r="A344" s="63" t="s">
        <v>369</v>
      </c>
      <c r="B344" s="63" t="s">
        <v>156</v>
      </c>
      <c r="C344" s="112">
        <v>252.47040000000001</v>
      </c>
      <c r="D344" s="125">
        <v>0.02</v>
      </c>
      <c r="E344" s="124">
        <v>0.04</v>
      </c>
      <c r="F344" s="119">
        <f t="shared" si="38"/>
        <v>151.48223999999999</v>
      </c>
      <c r="G344" s="5">
        <v>0.4</v>
      </c>
      <c r="H344" s="103">
        <v>2</v>
      </c>
      <c r="I344" s="100">
        <v>1</v>
      </c>
      <c r="J344" s="63"/>
      <c r="K344" s="122">
        <f t="shared" si="39"/>
        <v>222.17395200000001</v>
      </c>
      <c r="O344" s="112">
        <v>247.52</v>
      </c>
    </row>
    <row r="345" spans="1:15">
      <c r="A345" s="63" t="s">
        <v>80</v>
      </c>
      <c r="B345" s="63" t="s">
        <v>26</v>
      </c>
      <c r="C345" s="112">
        <v>459.64464000000004</v>
      </c>
      <c r="D345" s="125">
        <v>0.02</v>
      </c>
      <c r="E345" s="124">
        <v>0.04</v>
      </c>
      <c r="F345" s="119">
        <f t="shared" si="38"/>
        <v>275.78678400000001</v>
      </c>
      <c r="G345" s="5">
        <v>0.4</v>
      </c>
      <c r="H345" s="103">
        <f t="shared" si="37"/>
        <v>4.4092000000000002</v>
      </c>
      <c r="I345" s="68">
        <v>2</v>
      </c>
      <c r="J345" s="63"/>
      <c r="K345" s="122">
        <f t="shared" si="39"/>
        <v>404.48728320000004</v>
      </c>
      <c r="O345" s="112">
        <v>450.63200000000001</v>
      </c>
    </row>
    <row r="346" spans="1:15">
      <c r="A346" s="63" t="s">
        <v>526</v>
      </c>
      <c r="B346" s="63" t="s">
        <v>527</v>
      </c>
      <c r="C346" s="112">
        <v>243.78</v>
      </c>
      <c r="D346" s="125">
        <v>0.02</v>
      </c>
      <c r="E346" s="124">
        <v>0</v>
      </c>
      <c r="F346" s="119">
        <f t="shared" si="38"/>
        <v>146.268</v>
      </c>
      <c r="G346" s="5">
        <v>0.4</v>
      </c>
      <c r="H346" s="103">
        <v>10</v>
      </c>
      <c r="I346" s="105">
        <v>5</v>
      </c>
      <c r="J346" s="63"/>
      <c r="K346" s="122">
        <f t="shared" si="39"/>
        <v>214.5264</v>
      </c>
      <c r="O346" s="112">
        <v>239</v>
      </c>
    </row>
    <row r="347" spans="1:15">
      <c r="A347" s="63" t="s">
        <v>79</v>
      </c>
      <c r="B347" s="63" t="s">
        <v>159</v>
      </c>
      <c r="C347" s="112">
        <v>538.03776000000005</v>
      </c>
      <c r="D347" s="125">
        <v>0.02</v>
      </c>
      <c r="E347" s="124">
        <v>0.04</v>
      </c>
      <c r="F347" s="119">
        <f t="shared" si="38"/>
        <v>322.82265599999999</v>
      </c>
      <c r="G347" s="5">
        <v>0.4</v>
      </c>
      <c r="H347" s="103">
        <f t="shared" si="37"/>
        <v>4.4092000000000002</v>
      </c>
      <c r="I347" s="68">
        <v>2</v>
      </c>
      <c r="J347" s="63"/>
      <c r="K347" s="122">
        <f t="shared" si="39"/>
        <v>473.47322880000007</v>
      </c>
      <c r="O347" s="112">
        <v>527.48800000000006</v>
      </c>
    </row>
    <row r="348" spans="1:15">
      <c r="A348" s="63" t="s">
        <v>324</v>
      </c>
      <c r="B348" s="63" t="s">
        <v>325</v>
      </c>
      <c r="C348" s="112">
        <v>538.03776000000005</v>
      </c>
      <c r="D348" s="125">
        <v>0.02</v>
      </c>
      <c r="E348" s="124">
        <v>0.04</v>
      </c>
      <c r="F348" s="119">
        <f t="shared" si="38"/>
        <v>322.82265599999999</v>
      </c>
      <c r="G348" s="5">
        <v>0.4</v>
      </c>
      <c r="H348" s="103">
        <f t="shared" si="37"/>
        <v>4.4092000000000002</v>
      </c>
      <c r="I348" s="68">
        <v>2</v>
      </c>
      <c r="J348" s="63"/>
      <c r="K348" s="122">
        <f t="shared" si="39"/>
        <v>473.47322880000007</v>
      </c>
      <c r="O348" s="112">
        <v>527.48800000000006</v>
      </c>
    </row>
    <row r="349" spans="1:15">
      <c r="A349" s="63" t="s">
        <v>528</v>
      </c>
      <c r="B349" s="63" t="s">
        <v>529</v>
      </c>
      <c r="C349" s="112">
        <v>238.68</v>
      </c>
      <c r="D349" s="125">
        <v>0.02</v>
      </c>
      <c r="E349" s="124">
        <v>0</v>
      </c>
      <c r="F349" s="119">
        <f t="shared" si="38"/>
        <v>143.208</v>
      </c>
      <c r="G349" s="5">
        <v>0.4</v>
      </c>
      <c r="H349" s="103">
        <v>10</v>
      </c>
      <c r="I349" s="105">
        <v>5</v>
      </c>
      <c r="J349" s="63"/>
      <c r="K349" s="122">
        <f t="shared" si="39"/>
        <v>210.0384</v>
      </c>
      <c r="O349" s="112">
        <v>234</v>
      </c>
    </row>
    <row r="350" spans="1:15">
      <c r="A350" s="63" t="s">
        <v>120</v>
      </c>
      <c r="B350" s="63" t="s">
        <v>121</v>
      </c>
      <c r="C350" s="112">
        <v>538.03776000000005</v>
      </c>
      <c r="D350" s="125">
        <v>0.02</v>
      </c>
      <c r="E350" s="124">
        <v>0.04</v>
      </c>
      <c r="F350" s="119">
        <f t="shared" si="38"/>
        <v>322.82265599999999</v>
      </c>
      <c r="G350" s="5">
        <v>0.4</v>
      </c>
      <c r="H350" s="103">
        <f t="shared" si="37"/>
        <v>4.4092000000000002</v>
      </c>
      <c r="I350" s="68">
        <v>2</v>
      </c>
      <c r="J350" s="63"/>
      <c r="K350" s="122">
        <f t="shared" si="39"/>
        <v>473.47322880000007</v>
      </c>
      <c r="O350" s="112">
        <v>527.48800000000006</v>
      </c>
    </row>
    <row r="351" spans="1:15">
      <c r="A351" s="63" t="s">
        <v>522</v>
      </c>
      <c r="B351" s="63" t="s">
        <v>523</v>
      </c>
      <c r="C351" s="112">
        <v>236.64000000000001</v>
      </c>
      <c r="D351" s="125">
        <v>0.02</v>
      </c>
      <c r="E351" s="124">
        <v>0</v>
      </c>
      <c r="F351" s="119">
        <f t="shared" si="38"/>
        <v>141.98400000000001</v>
      </c>
      <c r="G351" s="5">
        <v>0.4</v>
      </c>
      <c r="H351" s="103">
        <v>10</v>
      </c>
      <c r="I351" s="105">
        <v>5</v>
      </c>
      <c r="J351" s="63"/>
      <c r="K351" s="122">
        <f t="shared" si="39"/>
        <v>208.2432</v>
      </c>
      <c r="O351" s="112">
        <v>232</v>
      </c>
    </row>
    <row r="352" spans="1:15">
      <c r="A352" s="63" t="s">
        <v>524</v>
      </c>
      <c r="B352" s="63" t="s">
        <v>525</v>
      </c>
      <c r="C352" s="112">
        <v>198.9</v>
      </c>
      <c r="D352" s="125">
        <v>0.02</v>
      </c>
      <c r="E352" s="124">
        <v>0</v>
      </c>
      <c r="F352" s="119">
        <f t="shared" si="38"/>
        <v>119.34</v>
      </c>
      <c r="G352" s="5">
        <v>0.4</v>
      </c>
      <c r="H352" s="103">
        <v>10</v>
      </c>
      <c r="I352" s="105">
        <v>5</v>
      </c>
      <c r="J352" s="63"/>
      <c r="K352" s="122">
        <f t="shared" si="39"/>
        <v>175.03200000000001</v>
      </c>
      <c r="O352" s="112">
        <v>195</v>
      </c>
    </row>
    <row r="353" spans="1:15">
      <c r="A353" s="63" t="s">
        <v>309</v>
      </c>
      <c r="B353" s="63" t="s">
        <v>487</v>
      </c>
      <c r="C353" s="112">
        <v>398.33040000000005</v>
      </c>
      <c r="D353" s="125">
        <v>0.02</v>
      </c>
      <c r="E353" s="124">
        <v>0.04</v>
      </c>
      <c r="F353" s="119">
        <f t="shared" si="38"/>
        <v>238.99824000000001</v>
      </c>
      <c r="G353" s="5">
        <v>0.4</v>
      </c>
      <c r="H353" s="103">
        <f t="shared" si="37"/>
        <v>4.4092000000000002</v>
      </c>
      <c r="I353" s="68">
        <v>2</v>
      </c>
      <c r="J353" s="63"/>
      <c r="K353" s="122">
        <f t="shared" si="39"/>
        <v>350.53075200000006</v>
      </c>
      <c r="O353" s="112">
        <v>390.52000000000004</v>
      </c>
    </row>
    <row r="354" spans="1:15">
      <c r="A354" s="63" t="s">
        <v>81</v>
      </c>
      <c r="B354" s="63" t="s">
        <v>207</v>
      </c>
      <c r="C354" s="112">
        <v>538.03776000000005</v>
      </c>
      <c r="D354" s="125">
        <v>0.02</v>
      </c>
      <c r="E354" s="124">
        <v>0.04</v>
      </c>
      <c r="F354" s="119">
        <f t="shared" si="38"/>
        <v>322.82265599999999</v>
      </c>
      <c r="G354" s="5">
        <v>0.4</v>
      </c>
      <c r="H354" s="103">
        <f t="shared" si="37"/>
        <v>4.4092000000000002</v>
      </c>
      <c r="I354" s="68">
        <v>2</v>
      </c>
      <c r="J354" s="63"/>
      <c r="K354" s="122">
        <f t="shared" si="39"/>
        <v>473.47322880000007</v>
      </c>
      <c r="O354" s="112">
        <v>527.48800000000006</v>
      </c>
    </row>
    <row r="355" spans="1:15">
      <c r="A355" s="63" t="s">
        <v>310</v>
      </c>
      <c r="B355" s="63" t="s">
        <v>488</v>
      </c>
      <c r="C355" s="112">
        <v>476.82960000000003</v>
      </c>
      <c r="D355" s="125">
        <v>0.02</v>
      </c>
      <c r="E355" s="124">
        <v>0.04</v>
      </c>
      <c r="F355" s="119">
        <f t="shared" si="38"/>
        <v>286.09775999999999</v>
      </c>
      <c r="G355" s="5">
        <v>0.4</v>
      </c>
      <c r="H355" s="103">
        <f t="shared" si="37"/>
        <v>4.4092000000000002</v>
      </c>
      <c r="I355" s="68">
        <v>2</v>
      </c>
      <c r="J355" s="63"/>
      <c r="K355" s="122">
        <f t="shared" si="39"/>
        <v>419.61004800000001</v>
      </c>
      <c r="O355" s="112">
        <v>467.48</v>
      </c>
    </row>
    <row r="356" spans="1:15">
      <c r="A356" s="63" t="s">
        <v>82</v>
      </c>
      <c r="B356" s="63" t="s">
        <v>215</v>
      </c>
      <c r="C356" s="112">
        <v>538.03776000000005</v>
      </c>
      <c r="D356" s="125">
        <v>0.02</v>
      </c>
      <c r="E356" s="124">
        <v>0.04</v>
      </c>
      <c r="F356" s="119">
        <f t="shared" si="38"/>
        <v>322.82265599999999</v>
      </c>
      <c r="G356" s="5">
        <v>0.4</v>
      </c>
      <c r="H356" s="103">
        <f t="shared" si="37"/>
        <v>4.4092000000000002</v>
      </c>
      <c r="I356" s="68">
        <v>2</v>
      </c>
      <c r="J356" s="63"/>
      <c r="K356" s="122">
        <f t="shared" si="39"/>
        <v>473.47322880000007</v>
      </c>
      <c r="O356" s="112">
        <v>527.48800000000006</v>
      </c>
    </row>
    <row r="357" spans="1:15">
      <c r="A357" s="63" t="s">
        <v>83</v>
      </c>
      <c r="B357" s="63" t="s">
        <v>418</v>
      </c>
      <c r="C357" s="112">
        <v>459.64464000000004</v>
      </c>
      <c r="D357" s="125">
        <v>0.02</v>
      </c>
      <c r="E357" s="124">
        <v>0.04</v>
      </c>
      <c r="F357" s="119">
        <f t="shared" si="38"/>
        <v>275.78678400000001</v>
      </c>
      <c r="G357" s="5">
        <v>0.4</v>
      </c>
      <c r="H357" s="103">
        <f t="shared" si="37"/>
        <v>4.4092000000000002</v>
      </c>
      <c r="I357" s="68">
        <v>2</v>
      </c>
      <c r="J357" s="63"/>
      <c r="K357" s="122">
        <f t="shared" si="39"/>
        <v>404.48728320000004</v>
      </c>
      <c r="O357" s="112">
        <v>450.63200000000001</v>
      </c>
    </row>
    <row r="358" spans="1:15">
      <c r="A358" s="63" t="s">
        <v>107</v>
      </c>
      <c r="B358" s="63" t="s">
        <v>208</v>
      </c>
      <c r="C358" s="112">
        <v>128.67504</v>
      </c>
      <c r="D358" s="125">
        <v>0.02</v>
      </c>
      <c r="E358" s="124">
        <v>0.04</v>
      </c>
      <c r="F358" s="119">
        <f t="shared" si="38"/>
        <v>77.205023999999995</v>
      </c>
      <c r="G358" s="5">
        <v>0.4</v>
      </c>
      <c r="H358" s="103">
        <v>2</v>
      </c>
      <c r="I358" s="100">
        <v>1</v>
      </c>
      <c r="J358" s="63"/>
      <c r="K358" s="122">
        <f t="shared" si="39"/>
        <v>113.23403519999999</v>
      </c>
      <c r="O358" s="112">
        <v>126.152</v>
      </c>
    </row>
    <row r="359" spans="1:15">
      <c r="A359" s="63" t="s">
        <v>122</v>
      </c>
      <c r="B359" s="63" t="s">
        <v>123</v>
      </c>
      <c r="C359" s="112">
        <v>2010.42</v>
      </c>
      <c r="D359" s="125">
        <v>0.02</v>
      </c>
      <c r="E359" s="124">
        <v>0.04</v>
      </c>
      <c r="F359" s="119">
        <f t="shared" si="38"/>
        <v>1206.252</v>
      </c>
      <c r="G359" s="5">
        <v>0.4</v>
      </c>
      <c r="H359" s="103">
        <f t="shared" ref="H359" si="40">I359*2.2046</f>
        <v>4.4092000000000002</v>
      </c>
      <c r="I359" s="68">
        <v>2</v>
      </c>
      <c r="J359" s="63"/>
      <c r="K359" s="122">
        <f t="shared" si="39"/>
        <v>1769.1696000000002</v>
      </c>
      <c r="O359" s="112">
        <v>1971</v>
      </c>
    </row>
    <row r="360" spans="1:15">
      <c r="A360" s="63" t="s">
        <v>369</v>
      </c>
      <c r="B360" s="63" t="s">
        <v>156</v>
      </c>
      <c r="C360" s="112">
        <v>252.47040000000001</v>
      </c>
      <c r="D360" s="125">
        <v>0.02</v>
      </c>
      <c r="E360" s="124">
        <v>0.04</v>
      </c>
      <c r="F360" s="119">
        <f t="shared" si="38"/>
        <v>151.48223999999999</v>
      </c>
      <c r="G360" s="5">
        <v>0.4</v>
      </c>
      <c r="H360" s="103">
        <v>2</v>
      </c>
      <c r="I360" s="100">
        <v>1</v>
      </c>
      <c r="J360" s="63"/>
      <c r="K360" s="122">
        <f t="shared" si="39"/>
        <v>222.17395200000001</v>
      </c>
      <c r="O360" s="112">
        <v>247.52</v>
      </c>
    </row>
    <row r="361" spans="1:15">
      <c r="A361" s="63" t="s">
        <v>124</v>
      </c>
      <c r="B361" s="63" t="s">
        <v>125</v>
      </c>
      <c r="C361" s="112">
        <v>114.036</v>
      </c>
      <c r="D361" s="125">
        <v>0.02</v>
      </c>
      <c r="E361" s="124">
        <v>0.04</v>
      </c>
      <c r="F361" s="119">
        <f t="shared" si="38"/>
        <v>68.421600000000012</v>
      </c>
      <c r="G361" s="5">
        <v>0.39999999999999997</v>
      </c>
      <c r="H361" s="103">
        <v>2</v>
      </c>
      <c r="I361" s="100">
        <v>1</v>
      </c>
      <c r="J361" s="63"/>
      <c r="K361" s="122">
        <f t="shared" si="39"/>
        <v>100.35168</v>
      </c>
      <c r="O361" s="112">
        <v>111.8</v>
      </c>
    </row>
    <row r="362" spans="1:15">
      <c r="A362" s="63" t="s">
        <v>126</v>
      </c>
      <c r="B362" s="63" t="s">
        <v>127</v>
      </c>
      <c r="C362" s="112">
        <v>193.70208</v>
      </c>
      <c r="D362" s="125">
        <v>0.02</v>
      </c>
      <c r="E362" s="124">
        <v>0.04</v>
      </c>
      <c r="F362" s="119">
        <f t="shared" si="38"/>
        <v>116.22124799999999</v>
      </c>
      <c r="G362" s="5">
        <v>0.4</v>
      </c>
      <c r="H362" s="103">
        <v>1</v>
      </c>
      <c r="I362" s="68">
        <v>0.5</v>
      </c>
      <c r="J362" s="63"/>
      <c r="K362" s="122">
        <f t="shared" si="39"/>
        <v>170.45783040000001</v>
      </c>
      <c r="O362" s="112">
        <v>189.904</v>
      </c>
    </row>
    <row r="363" spans="1:15">
      <c r="A363" s="63" t="s">
        <v>84</v>
      </c>
      <c r="B363" s="63" t="s">
        <v>209</v>
      </c>
      <c r="C363" s="112">
        <v>5150.0820000000003</v>
      </c>
      <c r="D363" s="125">
        <v>0.02</v>
      </c>
      <c r="E363" s="124">
        <v>0</v>
      </c>
      <c r="F363" s="119">
        <f t="shared" si="38"/>
        <v>3090.0492000000008</v>
      </c>
      <c r="G363" s="5">
        <v>0.39999999999999997</v>
      </c>
      <c r="H363" s="103">
        <f t="shared" si="37"/>
        <v>8.8184000000000005</v>
      </c>
      <c r="I363" s="105">
        <v>4</v>
      </c>
      <c r="J363" s="63"/>
      <c r="K363" s="122">
        <f t="shared" si="39"/>
        <v>4532.0721600000006</v>
      </c>
      <c r="O363" s="112">
        <v>5049.1000000000004</v>
      </c>
    </row>
    <row r="364" spans="1:15">
      <c r="A364" s="63" t="s">
        <v>149</v>
      </c>
      <c r="B364" s="63" t="s">
        <v>150</v>
      </c>
      <c r="C364" s="112">
        <v>306.46511999999996</v>
      </c>
      <c r="D364" s="125">
        <v>0.02</v>
      </c>
      <c r="E364" s="124">
        <v>0.04</v>
      </c>
      <c r="F364" s="119">
        <f t="shared" si="38"/>
        <v>183.87907199999998</v>
      </c>
      <c r="G364" s="5">
        <v>0.4</v>
      </c>
      <c r="H364" s="4">
        <f t="shared" si="37"/>
        <v>1.1023000000000001</v>
      </c>
      <c r="I364" s="98">
        <v>0.5</v>
      </c>
      <c r="J364" s="63"/>
      <c r="K364" s="122">
        <f t="shared" si="39"/>
        <v>269.68930559999995</v>
      </c>
      <c r="O364" s="112">
        <v>300.45599999999996</v>
      </c>
    </row>
    <row r="365" spans="1:15">
      <c r="A365" s="63" t="s">
        <v>528</v>
      </c>
      <c r="B365" s="63" t="s">
        <v>529</v>
      </c>
      <c r="C365" s="112">
        <v>238.68</v>
      </c>
      <c r="D365" s="125">
        <v>0.02</v>
      </c>
      <c r="E365" s="124">
        <v>0</v>
      </c>
      <c r="F365" s="119">
        <f t="shared" si="38"/>
        <v>143.208</v>
      </c>
      <c r="G365" s="5">
        <v>0.4</v>
      </c>
      <c r="H365" s="4">
        <v>10</v>
      </c>
      <c r="I365" s="98">
        <v>5</v>
      </c>
      <c r="J365" s="63"/>
      <c r="K365" s="122">
        <f t="shared" si="39"/>
        <v>210.0384</v>
      </c>
      <c r="O365" s="112">
        <v>234</v>
      </c>
    </row>
    <row r="366" spans="1:15">
      <c r="A366" s="63" t="s">
        <v>151</v>
      </c>
      <c r="B366" s="63" t="s">
        <v>152</v>
      </c>
      <c r="C366" s="112">
        <v>306.46511999999996</v>
      </c>
      <c r="D366" s="125">
        <v>0.02</v>
      </c>
      <c r="E366" s="124">
        <v>0.04</v>
      </c>
      <c r="F366" s="119">
        <f t="shared" ref="F366:F397" si="41">C366*(1-G366)</f>
        <v>183.87907199999998</v>
      </c>
      <c r="G366" s="5">
        <v>0.4</v>
      </c>
      <c r="H366" s="4">
        <f t="shared" si="37"/>
        <v>1.1023000000000001</v>
      </c>
      <c r="I366" s="98">
        <v>0.5</v>
      </c>
      <c r="J366" s="63"/>
      <c r="K366" s="122">
        <f t="shared" ref="K366:K397" si="42">C366*0.88</f>
        <v>269.68930559999995</v>
      </c>
      <c r="O366" s="112">
        <v>300.45599999999996</v>
      </c>
    </row>
    <row r="367" spans="1:15">
      <c r="A367" s="63" t="s">
        <v>530</v>
      </c>
      <c r="B367" s="63" t="s">
        <v>531</v>
      </c>
      <c r="C367" s="112">
        <v>306.46511999999996</v>
      </c>
      <c r="D367" s="125">
        <v>0.02</v>
      </c>
      <c r="E367" s="124">
        <v>0.04</v>
      </c>
      <c r="F367" s="119">
        <f t="shared" si="41"/>
        <v>183.87907199999998</v>
      </c>
      <c r="G367" s="5">
        <v>0.4</v>
      </c>
      <c r="H367" s="4">
        <f t="shared" si="37"/>
        <v>1.1023000000000001</v>
      </c>
      <c r="I367" s="98">
        <v>0.5</v>
      </c>
      <c r="J367" s="63"/>
      <c r="K367" s="122">
        <f t="shared" si="42"/>
        <v>269.68930559999995</v>
      </c>
      <c r="O367" s="112">
        <v>300.45599999999996</v>
      </c>
    </row>
    <row r="368" spans="1:15">
      <c r="A368" s="63" t="s">
        <v>522</v>
      </c>
      <c r="B368" s="63" t="s">
        <v>523</v>
      </c>
      <c r="C368" s="112">
        <v>236.64000000000001</v>
      </c>
      <c r="D368" s="125">
        <v>0.02</v>
      </c>
      <c r="E368" s="124">
        <v>0</v>
      </c>
      <c r="F368" s="119">
        <f t="shared" si="41"/>
        <v>141.98400000000001</v>
      </c>
      <c r="G368" s="5">
        <v>0.4</v>
      </c>
      <c r="H368" s="4">
        <v>10</v>
      </c>
      <c r="I368" s="98">
        <v>5</v>
      </c>
      <c r="J368" s="63"/>
      <c r="K368" s="122">
        <f t="shared" si="42"/>
        <v>208.2432</v>
      </c>
      <c r="O368" s="112">
        <v>232</v>
      </c>
    </row>
    <row r="369" spans="1:15">
      <c r="A369" s="63" t="s">
        <v>524</v>
      </c>
      <c r="B369" s="63" t="s">
        <v>525</v>
      </c>
      <c r="C369" s="112">
        <v>198.9</v>
      </c>
      <c r="D369" s="125">
        <v>0.02</v>
      </c>
      <c r="E369" s="124">
        <v>0</v>
      </c>
      <c r="F369" s="119">
        <f t="shared" si="41"/>
        <v>119.34</v>
      </c>
      <c r="G369" s="5">
        <v>0.4</v>
      </c>
      <c r="H369" s="4">
        <v>10</v>
      </c>
      <c r="I369" s="98">
        <v>5</v>
      </c>
      <c r="J369" s="63"/>
      <c r="K369" s="122">
        <f t="shared" si="42"/>
        <v>175.03200000000001</v>
      </c>
      <c r="O369" s="112">
        <v>195</v>
      </c>
    </row>
    <row r="370" spans="1:15">
      <c r="A370" s="63" t="s">
        <v>87</v>
      </c>
      <c r="B370" s="63" t="s">
        <v>153</v>
      </c>
      <c r="C370" s="112">
        <v>306.46511999999996</v>
      </c>
      <c r="D370" s="125">
        <v>0.02</v>
      </c>
      <c r="E370" s="124">
        <v>0.04</v>
      </c>
      <c r="F370" s="119">
        <f t="shared" si="41"/>
        <v>183.87907199999998</v>
      </c>
      <c r="G370" s="5">
        <v>0.4</v>
      </c>
      <c r="H370" s="103">
        <f t="shared" si="37"/>
        <v>1.1023000000000001</v>
      </c>
      <c r="I370" s="68">
        <v>0.5</v>
      </c>
      <c r="J370" s="63"/>
      <c r="K370" s="122">
        <f t="shared" si="42"/>
        <v>269.68930559999995</v>
      </c>
      <c r="O370" s="112">
        <v>300.45599999999996</v>
      </c>
    </row>
    <row r="371" spans="1:15">
      <c r="A371" s="63" t="s">
        <v>88</v>
      </c>
      <c r="B371" s="63" t="s">
        <v>154</v>
      </c>
      <c r="C371" s="112">
        <v>306.46511999999996</v>
      </c>
      <c r="D371" s="125">
        <v>0.02</v>
      </c>
      <c r="E371" s="124">
        <v>0.04</v>
      </c>
      <c r="F371" s="119">
        <f t="shared" si="41"/>
        <v>183.87907199999998</v>
      </c>
      <c r="G371" s="5">
        <v>0.4</v>
      </c>
      <c r="H371" s="103">
        <f t="shared" si="37"/>
        <v>1.1023000000000001</v>
      </c>
      <c r="I371" s="68">
        <v>0.5</v>
      </c>
      <c r="J371" s="63"/>
      <c r="K371" s="122">
        <f t="shared" si="42"/>
        <v>269.68930559999995</v>
      </c>
      <c r="O371" s="112">
        <v>300.45599999999996</v>
      </c>
    </row>
    <row r="372" spans="1:15">
      <c r="A372" s="63" t="s">
        <v>89</v>
      </c>
      <c r="B372" s="63" t="s">
        <v>155</v>
      </c>
      <c r="C372" s="112">
        <v>306.46511999999996</v>
      </c>
      <c r="D372" s="125">
        <v>0.02</v>
      </c>
      <c r="E372" s="124">
        <v>0.04</v>
      </c>
      <c r="F372" s="119">
        <f t="shared" si="41"/>
        <v>183.87907199999998</v>
      </c>
      <c r="G372" s="5">
        <v>0.4</v>
      </c>
      <c r="H372" s="103">
        <f t="shared" si="37"/>
        <v>1.1023000000000001</v>
      </c>
      <c r="I372" s="68">
        <v>0.5</v>
      </c>
      <c r="J372" s="63"/>
      <c r="K372" s="122">
        <f t="shared" si="42"/>
        <v>269.68930559999995</v>
      </c>
      <c r="O372" s="112">
        <v>300.45599999999996</v>
      </c>
    </row>
    <row r="373" spans="1:15">
      <c r="A373" s="63" t="s">
        <v>72</v>
      </c>
      <c r="B373" s="63" t="s">
        <v>202</v>
      </c>
      <c r="C373" s="112">
        <v>5006.7638400000005</v>
      </c>
      <c r="D373" s="125">
        <v>0.02</v>
      </c>
      <c r="E373" s="124">
        <v>0.04</v>
      </c>
      <c r="F373" s="119">
        <f t="shared" si="41"/>
        <v>3004.0583040000001</v>
      </c>
      <c r="G373" s="5">
        <v>0.4</v>
      </c>
      <c r="H373" s="103">
        <f t="shared" si="37"/>
        <v>18.077719999999999</v>
      </c>
      <c r="I373" s="105">
        <v>8.1999999999999993</v>
      </c>
      <c r="J373" s="63"/>
      <c r="K373" s="122">
        <f t="shared" si="42"/>
        <v>4405.9521792000005</v>
      </c>
      <c r="O373" s="112">
        <v>4908.5920000000006</v>
      </c>
    </row>
    <row r="374" spans="1:15">
      <c r="A374" s="63" t="s">
        <v>520</v>
      </c>
      <c r="B374" s="63" t="s">
        <v>521</v>
      </c>
      <c r="C374" s="112">
        <v>258.62304</v>
      </c>
      <c r="D374" s="125">
        <v>0.02</v>
      </c>
      <c r="E374" s="124">
        <v>0.04</v>
      </c>
      <c r="F374" s="119">
        <f t="shared" si="41"/>
        <v>155.173824</v>
      </c>
      <c r="G374" s="5">
        <v>0.4</v>
      </c>
      <c r="H374" s="103">
        <f t="shared" si="37"/>
        <v>2.2046000000000001</v>
      </c>
      <c r="I374" s="105">
        <v>1</v>
      </c>
      <c r="J374" s="63"/>
      <c r="K374" s="122">
        <f t="shared" si="42"/>
        <v>227.5882752</v>
      </c>
      <c r="O374" s="112">
        <v>253.55200000000002</v>
      </c>
    </row>
    <row r="375" spans="1:15">
      <c r="A375" s="63" t="s">
        <v>522</v>
      </c>
      <c r="B375" s="63" t="s">
        <v>523</v>
      </c>
      <c r="C375" s="112">
        <v>236.64000000000001</v>
      </c>
      <c r="D375" s="125">
        <v>0.02</v>
      </c>
      <c r="E375" s="124">
        <v>0</v>
      </c>
      <c r="F375" s="119">
        <f t="shared" si="41"/>
        <v>141.98400000000001</v>
      </c>
      <c r="G375" s="5">
        <v>0.4</v>
      </c>
      <c r="H375" s="4">
        <v>10</v>
      </c>
      <c r="I375" s="98">
        <v>5</v>
      </c>
      <c r="J375" s="63"/>
      <c r="K375" s="122">
        <f t="shared" si="42"/>
        <v>208.2432</v>
      </c>
      <c r="O375" s="112">
        <v>232</v>
      </c>
    </row>
    <row r="376" spans="1:15">
      <c r="A376" s="63" t="s">
        <v>524</v>
      </c>
      <c r="B376" s="63" t="s">
        <v>525</v>
      </c>
      <c r="C376" s="112">
        <v>198.9</v>
      </c>
      <c r="D376" s="125">
        <v>0.02</v>
      </c>
      <c r="E376" s="124">
        <v>0</v>
      </c>
      <c r="F376" s="119">
        <f t="shared" si="41"/>
        <v>119.34</v>
      </c>
      <c r="G376" s="5">
        <v>0.4</v>
      </c>
      <c r="H376" s="4">
        <v>10</v>
      </c>
      <c r="I376" s="98">
        <v>5</v>
      </c>
      <c r="J376" s="63"/>
      <c r="K376" s="122">
        <f t="shared" si="42"/>
        <v>175.03200000000001</v>
      </c>
      <c r="O376" s="112">
        <v>195</v>
      </c>
    </row>
    <row r="377" spans="1:15">
      <c r="A377" s="63" t="s">
        <v>394</v>
      </c>
      <c r="B377" s="63" t="s">
        <v>31</v>
      </c>
      <c r="C377" s="112">
        <v>258.62304</v>
      </c>
      <c r="D377" s="125">
        <v>0.02</v>
      </c>
      <c r="E377" s="124">
        <v>0.04</v>
      </c>
      <c r="F377" s="119">
        <f t="shared" si="41"/>
        <v>155.173824</v>
      </c>
      <c r="G377" s="5">
        <v>0.4</v>
      </c>
      <c r="H377" s="103">
        <f t="shared" si="37"/>
        <v>2.2046000000000001</v>
      </c>
      <c r="I377" s="105">
        <v>1</v>
      </c>
      <c r="J377" s="63"/>
      <c r="K377" s="122">
        <f t="shared" si="42"/>
        <v>227.5882752</v>
      </c>
      <c r="O377" s="112">
        <v>253.55200000000002</v>
      </c>
    </row>
    <row r="378" spans="1:15">
      <c r="A378" s="63" t="s">
        <v>395</v>
      </c>
      <c r="B378" s="63" t="s">
        <v>32</v>
      </c>
      <c r="C378" s="112">
        <v>258.62304</v>
      </c>
      <c r="D378" s="125">
        <v>0.02</v>
      </c>
      <c r="E378" s="124">
        <v>0.04</v>
      </c>
      <c r="F378" s="119">
        <f t="shared" si="41"/>
        <v>155.173824</v>
      </c>
      <c r="G378" s="5">
        <v>0.4</v>
      </c>
      <c r="H378" s="103">
        <f t="shared" si="37"/>
        <v>2.2046000000000001</v>
      </c>
      <c r="I378" s="105">
        <v>1</v>
      </c>
      <c r="J378" s="63"/>
      <c r="K378" s="122">
        <f t="shared" si="42"/>
        <v>227.5882752</v>
      </c>
      <c r="O378" s="112">
        <v>253.55200000000002</v>
      </c>
    </row>
    <row r="379" spans="1:15">
      <c r="A379" s="63" t="s">
        <v>396</v>
      </c>
      <c r="B379" s="63" t="s">
        <v>33</v>
      </c>
      <c r="C379" s="112">
        <v>258.62304</v>
      </c>
      <c r="D379" s="125">
        <v>0.02</v>
      </c>
      <c r="E379" s="124">
        <v>0.04</v>
      </c>
      <c r="F379" s="119">
        <f t="shared" si="41"/>
        <v>155.173824</v>
      </c>
      <c r="G379" s="5">
        <v>0.4</v>
      </c>
      <c r="H379" s="103">
        <f t="shared" si="37"/>
        <v>2.2046000000000001</v>
      </c>
      <c r="I379" s="105">
        <v>1</v>
      </c>
      <c r="J379" s="63"/>
      <c r="K379" s="122">
        <f t="shared" si="42"/>
        <v>227.5882752</v>
      </c>
      <c r="O379" s="112">
        <v>253.55200000000002</v>
      </c>
    </row>
    <row r="380" spans="1:15">
      <c r="A380" s="63" t="s">
        <v>61</v>
      </c>
      <c r="B380" s="63" t="s">
        <v>29</v>
      </c>
      <c r="C380" s="112">
        <v>3059.2411200000006</v>
      </c>
      <c r="D380" s="125">
        <v>0.02</v>
      </c>
      <c r="E380" s="124">
        <v>0.04</v>
      </c>
      <c r="F380" s="119">
        <f t="shared" si="41"/>
        <v>1835.5446720000002</v>
      </c>
      <c r="G380" s="5">
        <v>0.4</v>
      </c>
      <c r="H380" s="103">
        <f t="shared" si="37"/>
        <v>11.904840000000002</v>
      </c>
      <c r="I380" s="68">
        <v>5.4</v>
      </c>
      <c r="J380" s="63"/>
      <c r="K380" s="122">
        <f t="shared" si="42"/>
        <v>2692.1321856000004</v>
      </c>
      <c r="O380" s="112">
        <v>2999.2560000000003</v>
      </c>
    </row>
    <row r="381" spans="1:15">
      <c r="A381" s="63" t="s">
        <v>371</v>
      </c>
      <c r="B381" s="63" t="s">
        <v>237</v>
      </c>
      <c r="C381" s="112">
        <v>188.71632000000002</v>
      </c>
      <c r="D381" s="125">
        <v>0.02</v>
      </c>
      <c r="E381" s="124">
        <v>0.04</v>
      </c>
      <c r="F381" s="119">
        <f t="shared" si="41"/>
        <v>113.22979199999999</v>
      </c>
      <c r="G381" s="5">
        <v>0.40000000000000008</v>
      </c>
      <c r="H381" s="103">
        <f t="shared" si="37"/>
        <v>1.1023000000000001</v>
      </c>
      <c r="I381" s="68">
        <v>0.5</v>
      </c>
      <c r="J381" s="63"/>
      <c r="K381" s="122">
        <f t="shared" si="42"/>
        <v>166.07036160000001</v>
      </c>
      <c r="O381" s="112">
        <v>185.01600000000002</v>
      </c>
    </row>
    <row r="382" spans="1:15">
      <c r="A382" s="63" t="s">
        <v>372</v>
      </c>
      <c r="B382" s="63" t="s">
        <v>238</v>
      </c>
      <c r="C382" s="112">
        <v>188.71632000000002</v>
      </c>
      <c r="D382" s="125">
        <v>0.02</v>
      </c>
      <c r="E382" s="124">
        <v>0.04</v>
      </c>
      <c r="F382" s="119">
        <f t="shared" si="41"/>
        <v>113.22979199999999</v>
      </c>
      <c r="G382" s="5">
        <v>0.40000000000000008</v>
      </c>
      <c r="H382" s="103">
        <f t="shared" si="37"/>
        <v>1.1023000000000001</v>
      </c>
      <c r="I382" s="68">
        <v>0.5</v>
      </c>
      <c r="J382" s="63"/>
      <c r="K382" s="122">
        <f t="shared" si="42"/>
        <v>166.07036160000001</v>
      </c>
      <c r="O382" s="112">
        <v>185.01600000000002</v>
      </c>
    </row>
    <row r="383" spans="1:15">
      <c r="A383" s="63" t="s">
        <v>374</v>
      </c>
      <c r="B383" s="63" t="s">
        <v>239</v>
      </c>
      <c r="C383" s="112">
        <v>188.71632000000002</v>
      </c>
      <c r="D383" s="125">
        <v>0.02</v>
      </c>
      <c r="E383" s="124">
        <v>0.04</v>
      </c>
      <c r="F383" s="119">
        <f t="shared" si="41"/>
        <v>113.22979199999999</v>
      </c>
      <c r="G383" s="5">
        <v>0.40000000000000008</v>
      </c>
      <c r="H383" s="103">
        <f t="shared" si="37"/>
        <v>1.1023000000000001</v>
      </c>
      <c r="I383" s="68">
        <v>0.5</v>
      </c>
      <c r="J383" s="63"/>
      <c r="K383" s="122">
        <f t="shared" si="42"/>
        <v>166.07036160000001</v>
      </c>
      <c r="O383" s="112">
        <v>185.01600000000002</v>
      </c>
    </row>
    <row r="384" spans="1:15">
      <c r="A384" s="63" t="s">
        <v>375</v>
      </c>
      <c r="B384" s="63" t="s">
        <v>240</v>
      </c>
      <c r="C384" s="112">
        <v>188.71632000000002</v>
      </c>
      <c r="D384" s="125">
        <v>0.02</v>
      </c>
      <c r="E384" s="124">
        <v>0.04</v>
      </c>
      <c r="F384" s="119">
        <f t="shared" si="41"/>
        <v>113.22979199999999</v>
      </c>
      <c r="G384" s="5">
        <v>0.40000000000000008</v>
      </c>
      <c r="H384" s="103">
        <f t="shared" si="37"/>
        <v>1.1023000000000001</v>
      </c>
      <c r="I384" s="68">
        <v>0.5</v>
      </c>
      <c r="J384" s="63"/>
      <c r="K384" s="122">
        <f t="shared" si="42"/>
        <v>166.07036160000001</v>
      </c>
      <c r="O384" s="112">
        <v>185.01600000000002</v>
      </c>
    </row>
    <row r="385" spans="1:15">
      <c r="A385" s="63" t="s">
        <v>100</v>
      </c>
      <c r="B385" s="63" t="s">
        <v>34</v>
      </c>
      <c r="C385" s="112">
        <v>3451.4188800000002</v>
      </c>
      <c r="D385" s="125">
        <v>0.02</v>
      </c>
      <c r="E385" s="124">
        <v>0.04</v>
      </c>
      <c r="F385" s="119">
        <f t="shared" si="41"/>
        <v>2070.8513280000002</v>
      </c>
      <c r="G385" s="5">
        <v>0.4</v>
      </c>
      <c r="H385" s="103">
        <f t="shared" si="37"/>
        <v>10.141159999999999</v>
      </c>
      <c r="I385" s="68">
        <v>4.5999999999999996</v>
      </c>
      <c r="J385" s="63"/>
      <c r="K385" s="122">
        <f t="shared" si="42"/>
        <v>3037.2486144</v>
      </c>
      <c r="O385" s="112">
        <v>3383.7440000000001</v>
      </c>
    </row>
    <row r="386" spans="1:15">
      <c r="A386" s="63" t="s">
        <v>371</v>
      </c>
      <c r="B386" s="63" t="s">
        <v>237</v>
      </c>
      <c r="C386" s="112">
        <v>188.71632000000002</v>
      </c>
      <c r="D386" s="125">
        <v>0.02</v>
      </c>
      <c r="E386" s="124">
        <v>0.04</v>
      </c>
      <c r="F386" s="119">
        <f t="shared" si="41"/>
        <v>113.22979199999999</v>
      </c>
      <c r="G386" s="5">
        <v>0.40000000000000008</v>
      </c>
      <c r="H386" s="103">
        <f t="shared" si="37"/>
        <v>1.1023000000000001</v>
      </c>
      <c r="I386" s="68">
        <v>0.5</v>
      </c>
      <c r="J386" s="63"/>
      <c r="K386" s="122">
        <f t="shared" si="42"/>
        <v>166.07036160000001</v>
      </c>
      <c r="O386" s="112">
        <v>185.01600000000002</v>
      </c>
    </row>
    <row r="387" spans="1:15">
      <c r="A387" s="63" t="s">
        <v>372</v>
      </c>
      <c r="B387" s="63" t="s">
        <v>238</v>
      </c>
      <c r="C387" s="112">
        <v>188.71632000000002</v>
      </c>
      <c r="D387" s="125">
        <v>0.02</v>
      </c>
      <c r="E387" s="124">
        <v>0.04</v>
      </c>
      <c r="F387" s="119">
        <f t="shared" si="41"/>
        <v>113.22979199999999</v>
      </c>
      <c r="G387" s="5">
        <v>0.40000000000000008</v>
      </c>
      <c r="H387" s="103">
        <f t="shared" si="37"/>
        <v>1.1023000000000001</v>
      </c>
      <c r="I387" s="68">
        <v>0.5</v>
      </c>
      <c r="J387" s="63"/>
      <c r="K387" s="122">
        <f t="shared" si="42"/>
        <v>166.07036160000001</v>
      </c>
      <c r="O387" s="112">
        <v>185.01600000000002</v>
      </c>
    </row>
    <row r="388" spans="1:15">
      <c r="A388" s="63" t="s">
        <v>374</v>
      </c>
      <c r="B388" s="63" t="s">
        <v>239</v>
      </c>
      <c r="C388" s="112">
        <v>188.71632000000002</v>
      </c>
      <c r="D388" s="125">
        <v>0.02</v>
      </c>
      <c r="E388" s="124">
        <v>0.04</v>
      </c>
      <c r="F388" s="119">
        <f t="shared" si="41"/>
        <v>113.22979199999999</v>
      </c>
      <c r="G388" s="5">
        <v>0.40000000000000008</v>
      </c>
      <c r="H388" s="103">
        <f t="shared" si="37"/>
        <v>1.1023000000000001</v>
      </c>
      <c r="I388" s="68">
        <v>0.5</v>
      </c>
      <c r="J388" s="63"/>
      <c r="K388" s="122">
        <f t="shared" si="42"/>
        <v>166.07036160000001</v>
      </c>
      <c r="O388" s="112">
        <v>185.01600000000002</v>
      </c>
    </row>
    <row r="389" spans="1:15">
      <c r="A389" s="63" t="s">
        <v>375</v>
      </c>
      <c r="B389" s="63" t="s">
        <v>240</v>
      </c>
      <c r="C389" s="112">
        <v>188.71632000000002</v>
      </c>
      <c r="D389" s="125">
        <v>0.02</v>
      </c>
      <c r="E389" s="124">
        <v>0.04</v>
      </c>
      <c r="F389" s="119">
        <f t="shared" si="41"/>
        <v>113.22979199999999</v>
      </c>
      <c r="G389" s="5">
        <v>0.40000000000000008</v>
      </c>
      <c r="H389" s="103">
        <f t="shared" si="37"/>
        <v>1.1023000000000001</v>
      </c>
      <c r="I389" s="68">
        <v>0.5</v>
      </c>
      <c r="J389" s="63"/>
      <c r="K389" s="122">
        <f t="shared" si="42"/>
        <v>166.07036160000001</v>
      </c>
      <c r="O389" s="112">
        <v>185.01600000000002</v>
      </c>
    </row>
    <row r="390" spans="1:15">
      <c r="A390" s="63" t="s">
        <v>62</v>
      </c>
      <c r="B390" s="63" t="s">
        <v>98</v>
      </c>
      <c r="C390" s="112">
        <v>2526.08304</v>
      </c>
      <c r="D390" s="125">
        <v>0.02</v>
      </c>
      <c r="E390" s="124">
        <v>0.04</v>
      </c>
      <c r="F390" s="119">
        <f t="shared" si="41"/>
        <v>1515.6498239999999</v>
      </c>
      <c r="G390" s="5">
        <v>0.4</v>
      </c>
      <c r="H390" s="103">
        <f t="shared" si="37"/>
        <v>7.9365600000000009</v>
      </c>
      <c r="I390" s="68">
        <v>3.6</v>
      </c>
      <c r="J390" s="63"/>
      <c r="K390" s="122">
        <f t="shared" si="42"/>
        <v>2222.9530752000001</v>
      </c>
      <c r="O390" s="112">
        <v>2476.5520000000001</v>
      </c>
    </row>
    <row r="391" spans="1:15">
      <c r="A391" s="63" t="s">
        <v>376</v>
      </c>
      <c r="B391" s="63" t="s">
        <v>118</v>
      </c>
      <c r="C391" s="112">
        <v>188.71632000000002</v>
      </c>
      <c r="D391" s="125">
        <v>0.02</v>
      </c>
      <c r="E391" s="124">
        <v>0.04</v>
      </c>
      <c r="F391" s="119">
        <f t="shared" si="41"/>
        <v>113.22979199999999</v>
      </c>
      <c r="G391" s="5">
        <v>0.40000000000000008</v>
      </c>
      <c r="H391" s="103">
        <f>I391*2.2046</f>
        <v>1.1023000000000001</v>
      </c>
      <c r="I391" s="68">
        <v>0.5</v>
      </c>
      <c r="J391" s="63"/>
      <c r="K391" s="122">
        <f t="shared" si="42"/>
        <v>166.07036160000001</v>
      </c>
      <c r="O391" s="112">
        <v>185.01600000000002</v>
      </c>
    </row>
    <row r="392" spans="1:15">
      <c r="A392" s="63" t="s">
        <v>377</v>
      </c>
      <c r="B392" s="63" t="s">
        <v>313</v>
      </c>
      <c r="C392" s="112">
        <v>188.71632000000002</v>
      </c>
      <c r="D392" s="125">
        <v>0.02</v>
      </c>
      <c r="E392" s="124">
        <v>0.04</v>
      </c>
      <c r="F392" s="119">
        <f t="shared" si="41"/>
        <v>113.22979199999999</v>
      </c>
      <c r="G392" s="5">
        <v>0.40000000000000008</v>
      </c>
      <c r="H392" s="103">
        <f>I392*2.2046</f>
        <v>1.1023000000000001</v>
      </c>
      <c r="I392" s="68">
        <v>0.5</v>
      </c>
      <c r="J392" s="63"/>
      <c r="K392" s="122">
        <f t="shared" si="42"/>
        <v>166.07036160000001</v>
      </c>
      <c r="O392" s="112">
        <v>185.01600000000002</v>
      </c>
    </row>
    <row r="393" spans="1:15">
      <c r="A393" s="23" t="s">
        <v>250</v>
      </c>
      <c r="B393" s="61" t="s">
        <v>251</v>
      </c>
      <c r="C393" s="114">
        <v>169.983</v>
      </c>
      <c r="D393" s="125">
        <v>0.02</v>
      </c>
      <c r="E393" s="124">
        <v>0.04</v>
      </c>
      <c r="F393" s="119">
        <f t="shared" si="41"/>
        <v>101.98979999999997</v>
      </c>
      <c r="G393" s="5">
        <v>0.40000000000000008</v>
      </c>
      <c r="H393" s="103">
        <f t="shared" ref="H393:H394" si="43">I393*2.2046</f>
        <v>2.2046000000000001</v>
      </c>
      <c r="I393" s="100">
        <v>1</v>
      </c>
      <c r="J393" s="63"/>
      <c r="K393" s="122">
        <f t="shared" si="42"/>
        <v>149.58503999999999</v>
      </c>
      <c r="O393" s="114">
        <v>166.65</v>
      </c>
    </row>
    <row r="394" spans="1:15">
      <c r="A394" s="23" t="s">
        <v>252</v>
      </c>
      <c r="B394" s="61" t="s">
        <v>253</v>
      </c>
      <c r="C394" s="114">
        <v>169.983</v>
      </c>
      <c r="D394" s="125">
        <v>0.02</v>
      </c>
      <c r="E394" s="124">
        <v>0.04</v>
      </c>
      <c r="F394" s="119">
        <f t="shared" si="41"/>
        <v>101.98979999999997</v>
      </c>
      <c r="G394" s="5">
        <v>0.40000000000000008</v>
      </c>
      <c r="H394" s="103">
        <f t="shared" si="43"/>
        <v>2.2046000000000001</v>
      </c>
      <c r="I394" s="100">
        <v>1</v>
      </c>
      <c r="J394" s="63"/>
      <c r="K394" s="122">
        <f t="shared" si="42"/>
        <v>149.58503999999999</v>
      </c>
      <c r="O394" s="114">
        <v>166.65</v>
      </c>
    </row>
    <row r="395" spans="1:15">
      <c r="A395" s="23" t="s">
        <v>305</v>
      </c>
      <c r="B395" s="61" t="s">
        <v>306</v>
      </c>
      <c r="C395" s="114">
        <v>169.983</v>
      </c>
      <c r="D395" s="125">
        <v>0.02</v>
      </c>
      <c r="E395" s="124">
        <v>0.04</v>
      </c>
      <c r="F395" s="119">
        <f t="shared" si="41"/>
        <v>101.98979999999997</v>
      </c>
      <c r="G395" s="5">
        <v>0.40000000000000008</v>
      </c>
      <c r="H395" s="6">
        <v>1</v>
      </c>
      <c r="I395" s="68">
        <v>0.5</v>
      </c>
      <c r="J395" s="68"/>
      <c r="K395" s="122">
        <f t="shared" si="42"/>
        <v>149.58503999999999</v>
      </c>
      <c r="O395" s="114">
        <v>166.65</v>
      </c>
    </row>
    <row r="396" spans="1:15">
      <c r="A396" s="63" t="s">
        <v>63</v>
      </c>
      <c r="B396" s="63" t="s">
        <v>99</v>
      </c>
      <c r="C396" s="112">
        <v>2861.9323200000003</v>
      </c>
      <c r="D396" s="125">
        <v>0.02</v>
      </c>
      <c r="E396" s="124">
        <v>0.04</v>
      </c>
      <c r="F396" s="119">
        <f t="shared" si="41"/>
        <v>1717.1593920000003</v>
      </c>
      <c r="G396" s="5">
        <v>0.4</v>
      </c>
      <c r="H396" s="103">
        <f>I396*2.2046</f>
        <v>7.2751799999999998</v>
      </c>
      <c r="I396" s="68">
        <v>3.3</v>
      </c>
      <c r="J396" s="63"/>
      <c r="K396" s="122">
        <f t="shared" si="42"/>
        <v>2518.5004416000002</v>
      </c>
      <c r="O396" s="112">
        <v>2805.8160000000003</v>
      </c>
    </row>
    <row r="397" spans="1:15">
      <c r="A397" s="63" t="s">
        <v>378</v>
      </c>
      <c r="B397" s="63" t="s">
        <v>518</v>
      </c>
      <c r="C397" s="112">
        <v>188.71632000000002</v>
      </c>
      <c r="D397" s="125">
        <v>0.02</v>
      </c>
      <c r="E397" s="124">
        <v>0.04</v>
      </c>
      <c r="F397" s="119">
        <f t="shared" si="41"/>
        <v>113.22979199999999</v>
      </c>
      <c r="G397" s="5">
        <v>0.40000000000000008</v>
      </c>
      <c r="H397" s="103">
        <f>I397*2.2046</f>
        <v>1.1023000000000001</v>
      </c>
      <c r="I397" s="68">
        <v>0.5</v>
      </c>
      <c r="J397" s="63"/>
      <c r="K397" s="122">
        <f t="shared" si="42"/>
        <v>166.07036160000001</v>
      </c>
      <c r="O397" s="112">
        <v>185.01600000000002</v>
      </c>
    </row>
    <row r="398" spans="1:15">
      <c r="A398" s="63" t="s">
        <v>379</v>
      </c>
      <c r="B398" s="63" t="s">
        <v>40</v>
      </c>
      <c r="C398" s="112">
        <v>188.71632000000002</v>
      </c>
      <c r="D398" s="125">
        <v>0.02</v>
      </c>
      <c r="E398" s="124">
        <v>0.04</v>
      </c>
      <c r="F398" s="119">
        <f t="shared" ref="F398:F410" si="44">C398*(1-G398)</f>
        <v>113.22979199999999</v>
      </c>
      <c r="G398" s="5">
        <v>0.40000000000000008</v>
      </c>
      <c r="H398" s="103">
        <f>I398*2.2046</f>
        <v>1.1023000000000001</v>
      </c>
      <c r="I398" s="68">
        <v>0.5</v>
      </c>
      <c r="J398" s="63"/>
      <c r="K398" s="122">
        <f t="shared" ref="K398:K410" si="45">C398*0.88</f>
        <v>166.07036160000001</v>
      </c>
      <c r="O398" s="112">
        <v>185.01600000000002</v>
      </c>
    </row>
    <row r="399" spans="1:15" s="70" customFormat="1">
      <c r="A399" s="63" t="s">
        <v>64</v>
      </c>
      <c r="B399" s="63" t="s">
        <v>19</v>
      </c>
      <c r="C399" s="112">
        <v>3451.4188800000002</v>
      </c>
      <c r="D399" s="125">
        <v>0.02</v>
      </c>
      <c r="E399" s="124">
        <v>0.04</v>
      </c>
      <c r="F399" s="119">
        <f t="shared" si="44"/>
        <v>2070.8513280000002</v>
      </c>
      <c r="G399" s="5">
        <v>0.4</v>
      </c>
      <c r="H399" s="103">
        <f t="shared" ref="H399:H506" si="46">I399*2.2046</f>
        <v>8.3774800000000003</v>
      </c>
      <c r="I399" s="105">
        <v>3.8</v>
      </c>
      <c r="J399" s="63"/>
      <c r="K399" s="122">
        <f t="shared" si="45"/>
        <v>3037.2486144</v>
      </c>
      <c r="O399" s="112">
        <v>3383.7440000000001</v>
      </c>
    </row>
    <row r="400" spans="1:15">
      <c r="A400" s="63" t="s">
        <v>56</v>
      </c>
      <c r="B400" s="63" t="s">
        <v>197</v>
      </c>
      <c r="C400" s="112">
        <v>2882.7240000000002</v>
      </c>
      <c r="D400" s="125">
        <v>0.02</v>
      </c>
      <c r="E400" s="124">
        <v>0.04</v>
      </c>
      <c r="F400" s="119">
        <f t="shared" si="44"/>
        <v>1729.6344000000004</v>
      </c>
      <c r="G400" s="5">
        <v>0.39999999999999997</v>
      </c>
      <c r="H400" s="103">
        <f t="shared" si="46"/>
        <v>7.0547200000000005</v>
      </c>
      <c r="I400" s="68">
        <v>3.2</v>
      </c>
      <c r="J400" s="63"/>
      <c r="K400" s="122">
        <f t="shared" si="45"/>
        <v>2536.7971200000002</v>
      </c>
      <c r="O400" s="112">
        <v>2826.2000000000003</v>
      </c>
    </row>
    <row r="401" spans="1:15">
      <c r="A401" s="63" t="s">
        <v>368</v>
      </c>
      <c r="B401" s="63" t="s">
        <v>198</v>
      </c>
      <c r="C401" s="112">
        <v>97.495680000000007</v>
      </c>
      <c r="D401" s="125">
        <v>0.02</v>
      </c>
      <c r="E401" s="124">
        <v>0.03</v>
      </c>
      <c r="F401" s="119">
        <f t="shared" si="44"/>
        <v>53.622624000000009</v>
      </c>
      <c r="G401" s="5">
        <v>0.45</v>
      </c>
      <c r="H401" s="103">
        <f t="shared" si="46"/>
        <v>2.2046000000000001</v>
      </c>
      <c r="I401" s="100">
        <v>1</v>
      </c>
      <c r="J401" s="63"/>
      <c r="K401" s="122">
        <f t="shared" si="45"/>
        <v>85.796198400000009</v>
      </c>
      <c r="O401" s="112">
        <v>95.584000000000003</v>
      </c>
    </row>
    <row r="402" spans="1:15">
      <c r="A402" s="63" t="s">
        <v>10</v>
      </c>
      <c r="B402" s="63" t="s">
        <v>199</v>
      </c>
      <c r="C402" s="112">
        <v>97.495680000000007</v>
      </c>
      <c r="D402" s="125">
        <v>0.02</v>
      </c>
      <c r="E402" s="124">
        <v>0.03</v>
      </c>
      <c r="F402" s="119">
        <f t="shared" si="44"/>
        <v>53.622624000000009</v>
      </c>
      <c r="G402" s="5">
        <v>0.45</v>
      </c>
      <c r="H402" s="103">
        <f t="shared" si="46"/>
        <v>2.2046000000000001</v>
      </c>
      <c r="I402" s="100">
        <v>1</v>
      </c>
      <c r="J402" s="63"/>
      <c r="K402" s="122">
        <f t="shared" si="45"/>
        <v>85.796198400000009</v>
      </c>
      <c r="O402" s="112">
        <v>95.584000000000003</v>
      </c>
    </row>
    <row r="403" spans="1:15">
      <c r="A403" s="63" t="s">
        <v>369</v>
      </c>
      <c r="B403" s="63" t="s">
        <v>156</v>
      </c>
      <c r="C403" s="112">
        <v>252.47040000000001</v>
      </c>
      <c r="D403" s="125">
        <v>0.02</v>
      </c>
      <c r="E403" s="124">
        <v>0.04</v>
      </c>
      <c r="F403" s="119">
        <f t="shared" si="44"/>
        <v>151.48223999999999</v>
      </c>
      <c r="G403" s="5">
        <v>0.4</v>
      </c>
      <c r="H403" s="103">
        <v>2</v>
      </c>
      <c r="I403" s="100">
        <v>1</v>
      </c>
      <c r="J403" s="63"/>
      <c r="K403" s="122">
        <f t="shared" si="45"/>
        <v>222.17395200000001</v>
      </c>
      <c r="O403" s="112">
        <v>247.52</v>
      </c>
    </row>
    <row r="404" spans="1:15">
      <c r="A404" s="63" t="s">
        <v>66</v>
      </c>
      <c r="B404" s="63" t="s">
        <v>44</v>
      </c>
      <c r="C404" s="112">
        <v>817.55856000000006</v>
      </c>
      <c r="D404" s="125">
        <v>0.02</v>
      </c>
      <c r="E404" s="124">
        <v>0.04</v>
      </c>
      <c r="F404" s="119">
        <f t="shared" si="44"/>
        <v>490.53513599999991</v>
      </c>
      <c r="G404" s="5">
        <v>0.40000000000000008</v>
      </c>
      <c r="H404" s="103">
        <f t="shared" si="46"/>
        <v>3.5273600000000003</v>
      </c>
      <c r="I404" s="68">
        <v>1.6</v>
      </c>
      <c r="J404" s="63"/>
      <c r="K404" s="122">
        <f t="shared" si="45"/>
        <v>719.45153280000011</v>
      </c>
      <c r="O404" s="112">
        <v>801.52800000000002</v>
      </c>
    </row>
    <row r="405" spans="1:15">
      <c r="A405" s="63" t="s">
        <v>334</v>
      </c>
      <c r="B405" s="63" t="s">
        <v>12</v>
      </c>
      <c r="C405" s="112">
        <v>27.52572</v>
      </c>
      <c r="D405" s="125">
        <v>0.02</v>
      </c>
      <c r="E405" s="124">
        <v>0.03</v>
      </c>
      <c r="F405" s="119">
        <f t="shared" si="44"/>
        <v>15.139146</v>
      </c>
      <c r="G405" s="5">
        <v>0.45</v>
      </c>
      <c r="H405" s="103">
        <v>1</v>
      </c>
      <c r="I405" s="100">
        <v>0.5</v>
      </c>
      <c r="J405" s="63"/>
      <c r="K405" s="122">
        <f t="shared" si="45"/>
        <v>24.222633599999998</v>
      </c>
      <c r="O405" s="112">
        <v>26.986000000000001</v>
      </c>
    </row>
    <row r="406" spans="1:15">
      <c r="A406" s="63" t="s">
        <v>335</v>
      </c>
      <c r="B406" s="63" t="s">
        <v>14</v>
      </c>
      <c r="C406" s="112">
        <v>27.52572</v>
      </c>
      <c r="D406" s="125">
        <v>0.02</v>
      </c>
      <c r="E406" s="124">
        <v>0.03</v>
      </c>
      <c r="F406" s="119">
        <f t="shared" si="44"/>
        <v>15.139146</v>
      </c>
      <c r="G406" s="5">
        <v>0.45</v>
      </c>
      <c r="H406" s="103">
        <v>1</v>
      </c>
      <c r="I406" s="100">
        <v>0.5</v>
      </c>
      <c r="J406" s="63"/>
      <c r="K406" s="122">
        <f t="shared" si="45"/>
        <v>24.222633599999998</v>
      </c>
      <c r="O406" s="112">
        <v>26.986000000000001</v>
      </c>
    </row>
    <row r="407" spans="1:15">
      <c r="A407" s="63" t="s">
        <v>58</v>
      </c>
      <c r="B407" s="63" t="s">
        <v>497</v>
      </c>
      <c r="C407" s="112">
        <v>1773.5515200000002</v>
      </c>
      <c r="D407" s="125">
        <v>0.02</v>
      </c>
      <c r="E407" s="124">
        <v>0.04</v>
      </c>
      <c r="F407" s="119">
        <f t="shared" si="44"/>
        <v>1064.1309120000003</v>
      </c>
      <c r="G407" s="5">
        <v>0.39999999999999997</v>
      </c>
      <c r="H407" s="103">
        <f t="shared" si="46"/>
        <v>3.5273600000000003</v>
      </c>
      <c r="I407" s="68">
        <v>1.6</v>
      </c>
      <c r="J407" s="63"/>
      <c r="K407" s="122">
        <f t="shared" si="45"/>
        <v>1560.7253376000001</v>
      </c>
      <c r="O407" s="112">
        <v>1738.7760000000001</v>
      </c>
    </row>
    <row r="408" spans="1:15">
      <c r="A408" s="63" t="s">
        <v>68</v>
      </c>
      <c r="B408" s="63" t="s">
        <v>101</v>
      </c>
      <c r="C408" s="112">
        <v>1593.3216000000002</v>
      </c>
      <c r="D408" s="125">
        <v>0.02</v>
      </c>
      <c r="E408" s="124">
        <v>0.04</v>
      </c>
      <c r="F408" s="119">
        <f t="shared" si="44"/>
        <v>955.99296000000004</v>
      </c>
      <c r="G408" s="5">
        <v>0.4</v>
      </c>
      <c r="H408" s="103">
        <f t="shared" si="46"/>
        <v>2.2046000000000001</v>
      </c>
      <c r="I408" s="68">
        <v>1</v>
      </c>
      <c r="J408" s="63"/>
      <c r="K408" s="122">
        <f t="shared" si="45"/>
        <v>1402.1230080000003</v>
      </c>
      <c r="O408" s="112">
        <v>1562.0800000000002</v>
      </c>
    </row>
    <row r="409" spans="1:15">
      <c r="A409" s="63" t="s">
        <v>59</v>
      </c>
      <c r="B409" s="63" t="s">
        <v>416</v>
      </c>
      <c r="C409" s="112">
        <v>1911.9859200000001</v>
      </c>
      <c r="D409" s="125">
        <v>0.02</v>
      </c>
      <c r="E409" s="124">
        <v>0.04</v>
      </c>
      <c r="F409" s="119">
        <f t="shared" si="44"/>
        <v>1147.191552</v>
      </c>
      <c r="G409" s="5">
        <v>0.4</v>
      </c>
      <c r="H409" s="103">
        <f t="shared" si="46"/>
        <v>3.9682800000000005</v>
      </c>
      <c r="I409" s="68">
        <v>1.8</v>
      </c>
      <c r="J409" s="63"/>
      <c r="K409" s="122">
        <f t="shared" si="45"/>
        <v>1682.5476096</v>
      </c>
      <c r="O409" s="112">
        <v>1874.4960000000001</v>
      </c>
    </row>
    <row r="410" spans="1:15">
      <c r="A410" s="63" t="s">
        <v>67</v>
      </c>
      <c r="B410" s="63" t="s">
        <v>43</v>
      </c>
      <c r="C410" s="112">
        <v>1375.2211200000002</v>
      </c>
      <c r="D410" s="125">
        <v>0.02</v>
      </c>
      <c r="E410" s="124">
        <v>0.04</v>
      </c>
      <c r="F410" s="119">
        <f t="shared" si="44"/>
        <v>825.13267200000018</v>
      </c>
      <c r="G410" s="5">
        <v>0.39999999999999997</v>
      </c>
      <c r="H410" s="103">
        <f t="shared" si="46"/>
        <v>2.4250600000000002</v>
      </c>
      <c r="I410" s="68">
        <v>1.1000000000000001</v>
      </c>
      <c r="J410" s="63"/>
      <c r="K410" s="122">
        <f t="shared" si="45"/>
        <v>1210.1945856000002</v>
      </c>
      <c r="O410" s="112">
        <v>1348.2560000000001</v>
      </c>
    </row>
    <row r="411" spans="1:15">
      <c r="A411" s="63"/>
      <c r="B411" s="63"/>
      <c r="C411" s="112"/>
      <c r="D411" s="126"/>
      <c r="E411" s="124"/>
      <c r="F411" s="119"/>
      <c r="G411" s="5"/>
      <c r="H411" s="103"/>
      <c r="I411" s="68"/>
      <c r="J411" s="63"/>
      <c r="K411" s="122"/>
      <c r="O411" s="112"/>
    </row>
    <row r="412" spans="1:15">
      <c r="A412" s="63"/>
      <c r="B412" s="63"/>
      <c r="C412" s="112"/>
      <c r="D412" s="126"/>
      <c r="E412" s="124"/>
      <c r="F412" s="119"/>
      <c r="G412" s="5"/>
      <c r="H412" s="103"/>
      <c r="I412" s="68"/>
      <c r="J412" s="63"/>
      <c r="K412" s="122"/>
      <c r="O412" s="112"/>
    </row>
    <row r="413" spans="1:15" ht="18.75">
      <c r="A413" s="79" t="s">
        <v>35</v>
      </c>
      <c r="B413" s="63"/>
      <c r="C413" s="112"/>
      <c r="D413" s="126"/>
      <c r="E413" s="124"/>
      <c r="F413" s="119"/>
      <c r="G413" s="5"/>
      <c r="H413" s="103"/>
      <c r="I413" s="68"/>
      <c r="J413" s="63"/>
      <c r="K413" s="122"/>
      <c r="O413" s="112"/>
    </row>
    <row r="414" spans="1:15">
      <c r="A414" s="64" t="s">
        <v>102</v>
      </c>
      <c r="B414" s="64" t="s">
        <v>549</v>
      </c>
      <c r="C414" s="112">
        <v>12811.069439999999</v>
      </c>
      <c r="D414" s="125">
        <v>0.02</v>
      </c>
      <c r="E414" s="124">
        <v>0.04</v>
      </c>
      <c r="F414" s="119">
        <f t="shared" ref="F414:F445" si="47">C414*(1-G414)</f>
        <v>7686.6416639999989</v>
      </c>
      <c r="G414" s="5">
        <v>0.4</v>
      </c>
      <c r="H414" s="103">
        <f t="shared" si="46"/>
        <v>182.98180000000002</v>
      </c>
      <c r="I414" s="100">
        <v>83</v>
      </c>
      <c r="J414" s="63"/>
      <c r="K414" s="122">
        <f t="shared" ref="K414:K445" si="48">C414*0.88</f>
        <v>11273.7411072</v>
      </c>
      <c r="O414" s="112">
        <v>12559.871999999999</v>
      </c>
    </row>
    <row r="415" spans="1:15">
      <c r="A415" s="64" t="s">
        <v>184</v>
      </c>
      <c r="B415" s="64" t="s">
        <v>185</v>
      </c>
      <c r="C415" s="112">
        <v>12811.069439999999</v>
      </c>
      <c r="D415" s="125">
        <v>0.02</v>
      </c>
      <c r="E415" s="124">
        <v>0.04</v>
      </c>
      <c r="F415" s="119">
        <f t="shared" si="47"/>
        <v>7686.6416639999989</v>
      </c>
      <c r="G415" s="5">
        <v>0.4</v>
      </c>
      <c r="H415" s="103">
        <f t="shared" si="46"/>
        <v>182.98180000000002</v>
      </c>
      <c r="I415" s="100">
        <v>83</v>
      </c>
      <c r="J415" s="63"/>
      <c r="K415" s="122">
        <f t="shared" si="48"/>
        <v>11273.7411072</v>
      </c>
      <c r="O415" s="112">
        <v>12559.871999999999</v>
      </c>
    </row>
    <row r="416" spans="1:15" ht="30">
      <c r="A416" s="77" t="s">
        <v>311</v>
      </c>
      <c r="B416" s="78" t="s">
        <v>312</v>
      </c>
      <c r="C416" s="116">
        <v>235.72200000000001</v>
      </c>
      <c r="D416" s="125">
        <v>0.02</v>
      </c>
      <c r="E416" s="124">
        <v>0</v>
      </c>
      <c r="F416" s="120">
        <f t="shared" si="47"/>
        <v>141.4332</v>
      </c>
      <c r="G416" s="71">
        <v>0.4</v>
      </c>
      <c r="H416" s="103">
        <v>5</v>
      </c>
      <c r="I416" s="100">
        <v>2.5</v>
      </c>
      <c r="J416" s="92"/>
      <c r="K416" s="122">
        <f t="shared" si="48"/>
        <v>207.43536</v>
      </c>
      <c r="O416" s="116">
        <v>231.1</v>
      </c>
    </row>
    <row r="417" spans="1:15">
      <c r="A417" s="63" t="s">
        <v>106</v>
      </c>
      <c r="B417" s="63" t="s">
        <v>192</v>
      </c>
      <c r="C417" s="112">
        <v>1707.3576</v>
      </c>
      <c r="D417" s="125">
        <v>0.02</v>
      </c>
      <c r="E417" s="124">
        <v>0.04</v>
      </c>
      <c r="F417" s="119">
        <f t="shared" si="47"/>
        <v>1024.4145599999999</v>
      </c>
      <c r="G417" s="5">
        <v>0.4</v>
      </c>
      <c r="H417" s="103">
        <f t="shared" si="46"/>
        <v>2.6455199999999999</v>
      </c>
      <c r="I417" s="105">
        <v>1.2</v>
      </c>
      <c r="J417" s="63"/>
      <c r="K417" s="122">
        <f t="shared" si="48"/>
        <v>1502.474688</v>
      </c>
      <c r="O417" s="112">
        <v>1673.88</v>
      </c>
    </row>
    <row r="418" spans="1:15">
      <c r="A418" s="63" t="s">
        <v>346</v>
      </c>
      <c r="B418" s="63" t="s">
        <v>157</v>
      </c>
      <c r="C418" s="112">
        <v>305.19216</v>
      </c>
      <c r="D418" s="125">
        <v>0.02</v>
      </c>
      <c r="E418" s="124">
        <v>0.04</v>
      </c>
      <c r="F418" s="119">
        <f t="shared" si="47"/>
        <v>183.115296</v>
      </c>
      <c r="G418" s="5">
        <v>0.4</v>
      </c>
      <c r="H418" s="103">
        <f t="shared" si="46"/>
        <v>2.2046000000000001</v>
      </c>
      <c r="I418" s="105">
        <v>1</v>
      </c>
      <c r="J418" s="63"/>
      <c r="K418" s="122">
        <f t="shared" si="48"/>
        <v>268.5691008</v>
      </c>
      <c r="O418" s="112">
        <v>299.20799999999997</v>
      </c>
    </row>
    <row r="419" spans="1:15">
      <c r="A419" s="63" t="s">
        <v>347</v>
      </c>
      <c r="B419" s="63" t="s">
        <v>91</v>
      </c>
      <c r="C419" s="112">
        <v>305.19216</v>
      </c>
      <c r="D419" s="125">
        <v>0.02</v>
      </c>
      <c r="E419" s="124">
        <v>0.04</v>
      </c>
      <c r="F419" s="119">
        <f t="shared" si="47"/>
        <v>183.115296</v>
      </c>
      <c r="G419" s="5">
        <v>0.4</v>
      </c>
      <c r="H419" s="103">
        <f t="shared" si="46"/>
        <v>2.2046000000000001</v>
      </c>
      <c r="I419" s="105">
        <v>1</v>
      </c>
      <c r="J419" s="63"/>
      <c r="K419" s="122">
        <f t="shared" si="48"/>
        <v>268.5691008</v>
      </c>
      <c r="O419" s="112">
        <v>299.20799999999997</v>
      </c>
    </row>
    <row r="420" spans="1:15">
      <c r="A420" s="63" t="s">
        <v>348</v>
      </c>
      <c r="B420" s="63" t="s">
        <v>92</v>
      </c>
      <c r="C420" s="112">
        <v>305.19216</v>
      </c>
      <c r="D420" s="125">
        <v>0.02</v>
      </c>
      <c r="E420" s="124">
        <v>0.04</v>
      </c>
      <c r="F420" s="119">
        <f t="shared" si="47"/>
        <v>183.11529599999997</v>
      </c>
      <c r="G420" s="5">
        <v>0.40000000000000008</v>
      </c>
      <c r="H420" s="103">
        <f t="shared" si="46"/>
        <v>2.2046000000000001</v>
      </c>
      <c r="I420" s="105">
        <v>1</v>
      </c>
      <c r="J420" s="63"/>
      <c r="K420" s="122">
        <f t="shared" si="48"/>
        <v>268.5691008</v>
      </c>
      <c r="O420" s="112">
        <v>299.20799999999997</v>
      </c>
    </row>
    <row r="421" spans="1:15">
      <c r="A421" s="63" t="s">
        <v>349</v>
      </c>
      <c r="B421" s="63" t="s">
        <v>501</v>
      </c>
      <c r="C421" s="112">
        <v>305.19216</v>
      </c>
      <c r="D421" s="125">
        <v>0.02</v>
      </c>
      <c r="E421" s="124">
        <v>0.04</v>
      </c>
      <c r="F421" s="119">
        <f t="shared" si="47"/>
        <v>183.115296</v>
      </c>
      <c r="G421" s="5">
        <v>0.4</v>
      </c>
      <c r="H421" s="103">
        <f t="shared" si="46"/>
        <v>2.2046000000000001</v>
      </c>
      <c r="I421" s="105">
        <v>1</v>
      </c>
      <c r="J421" s="63"/>
      <c r="K421" s="122">
        <f t="shared" si="48"/>
        <v>268.5691008</v>
      </c>
      <c r="O421" s="112">
        <v>299.20799999999997</v>
      </c>
    </row>
    <row r="422" spans="1:15">
      <c r="A422" s="63" t="s">
        <v>350</v>
      </c>
      <c r="B422" s="63" t="s">
        <v>160</v>
      </c>
      <c r="C422" s="112">
        <v>305.19216</v>
      </c>
      <c r="D422" s="125">
        <v>0.02</v>
      </c>
      <c r="E422" s="124">
        <v>0.04</v>
      </c>
      <c r="F422" s="119">
        <f t="shared" si="47"/>
        <v>183.115296</v>
      </c>
      <c r="G422" s="5">
        <v>0.4</v>
      </c>
      <c r="H422" s="103">
        <v>1</v>
      </c>
      <c r="I422" s="105">
        <v>0.5</v>
      </c>
      <c r="J422" s="63"/>
      <c r="K422" s="122">
        <f t="shared" si="48"/>
        <v>268.5691008</v>
      </c>
      <c r="O422" s="112">
        <v>299.20799999999997</v>
      </c>
    </row>
    <row r="423" spans="1:15">
      <c r="A423" s="63" t="s">
        <v>351</v>
      </c>
      <c r="B423" s="63" t="s">
        <v>502</v>
      </c>
      <c r="C423" s="112">
        <v>305.19216</v>
      </c>
      <c r="D423" s="125">
        <v>0.02</v>
      </c>
      <c r="E423" s="124">
        <v>0.04</v>
      </c>
      <c r="F423" s="119">
        <f t="shared" si="47"/>
        <v>183.115296</v>
      </c>
      <c r="G423" s="5">
        <v>0.4</v>
      </c>
      <c r="H423" s="103">
        <f t="shared" si="46"/>
        <v>2.2046000000000001</v>
      </c>
      <c r="I423" s="105">
        <v>1</v>
      </c>
      <c r="J423" s="63"/>
      <c r="K423" s="122">
        <f t="shared" si="48"/>
        <v>268.5691008</v>
      </c>
      <c r="O423" s="112">
        <v>299.20799999999997</v>
      </c>
    </row>
    <row r="424" spans="1:15">
      <c r="A424" s="63" t="s">
        <v>352</v>
      </c>
      <c r="B424" s="63" t="s">
        <v>560</v>
      </c>
      <c r="C424" s="112">
        <v>305.19216</v>
      </c>
      <c r="D424" s="125">
        <v>0.02</v>
      </c>
      <c r="E424" s="124">
        <v>0.04</v>
      </c>
      <c r="F424" s="119">
        <f t="shared" si="47"/>
        <v>183.115296</v>
      </c>
      <c r="G424" s="5">
        <v>0.4</v>
      </c>
      <c r="H424" s="103">
        <f t="shared" si="46"/>
        <v>2.2046000000000001</v>
      </c>
      <c r="I424" s="105">
        <v>1</v>
      </c>
      <c r="J424" s="63"/>
      <c r="K424" s="122">
        <f t="shared" si="48"/>
        <v>268.5691008</v>
      </c>
      <c r="O424" s="112">
        <v>299.20799999999997</v>
      </c>
    </row>
    <row r="425" spans="1:15">
      <c r="A425" s="63" t="s">
        <v>353</v>
      </c>
      <c r="B425" s="63" t="s">
        <v>93</v>
      </c>
      <c r="C425" s="112">
        <v>305.19216</v>
      </c>
      <c r="D425" s="125">
        <v>0.02</v>
      </c>
      <c r="E425" s="124">
        <v>0.04</v>
      </c>
      <c r="F425" s="119">
        <f t="shared" si="47"/>
        <v>183.115296</v>
      </c>
      <c r="G425" s="5">
        <v>0.4</v>
      </c>
      <c r="H425" s="103">
        <f t="shared" si="46"/>
        <v>2.2046000000000001</v>
      </c>
      <c r="I425" s="105">
        <v>1</v>
      </c>
      <c r="J425" s="63"/>
      <c r="K425" s="122">
        <f t="shared" si="48"/>
        <v>268.5691008</v>
      </c>
      <c r="O425" s="112">
        <v>299.20799999999997</v>
      </c>
    </row>
    <row r="426" spans="1:15">
      <c r="A426" s="63" t="s">
        <v>354</v>
      </c>
      <c r="B426" s="63" t="s">
        <v>94</v>
      </c>
      <c r="C426" s="112">
        <v>305.19216</v>
      </c>
      <c r="D426" s="125">
        <v>0.02</v>
      </c>
      <c r="E426" s="124">
        <v>0.04</v>
      </c>
      <c r="F426" s="119">
        <f t="shared" si="47"/>
        <v>183.115296</v>
      </c>
      <c r="G426" s="5">
        <v>0.4</v>
      </c>
      <c r="H426" s="103">
        <f t="shared" si="46"/>
        <v>2.2046000000000001</v>
      </c>
      <c r="I426" s="105">
        <v>1</v>
      </c>
      <c r="J426" s="63"/>
      <c r="K426" s="122">
        <f t="shared" si="48"/>
        <v>268.5691008</v>
      </c>
      <c r="O426" s="112">
        <v>299.20799999999997</v>
      </c>
    </row>
    <row r="427" spans="1:15">
      <c r="A427" s="63" t="s">
        <v>54</v>
      </c>
      <c r="B427" s="63" t="s">
        <v>193</v>
      </c>
      <c r="C427" s="112">
        <v>2595.8836799999999</v>
      </c>
      <c r="D427" s="125">
        <v>0.02</v>
      </c>
      <c r="E427" s="124">
        <v>0.04</v>
      </c>
      <c r="F427" s="119">
        <f t="shared" si="47"/>
        <v>1557.5302079999999</v>
      </c>
      <c r="G427" s="5">
        <v>0.4</v>
      </c>
      <c r="H427" s="103">
        <f t="shared" si="46"/>
        <v>2.6455199999999999</v>
      </c>
      <c r="I427" s="68">
        <v>1.2</v>
      </c>
      <c r="J427" s="63"/>
      <c r="K427" s="122">
        <f t="shared" si="48"/>
        <v>2284.3776383999998</v>
      </c>
      <c r="O427" s="112">
        <v>2544.9839999999999</v>
      </c>
    </row>
    <row r="428" spans="1:15">
      <c r="A428" s="63" t="s">
        <v>355</v>
      </c>
      <c r="B428" s="63" t="s">
        <v>95</v>
      </c>
      <c r="C428" s="112">
        <v>251.30352000000002</v>
      </c>
      <c r="D428" s="125">
        <v>0.02</v>
      </c>
      <c r="E428" s="124">
        <v>0.04</v>
      </c>
      <c r="F428" s="119">
        <f t="shared" si="47"/>
        <v>150.78211200000001</v>
      </c>
      <c r="G428" s="5">
        <v>0.4</v>
      </c>
      <c r="H428" s="103">
        <f t="shared" si="46"/>
        <v>1.1023000000000001</v>
      </c>
      <c r="I428" s="68">
        <v>0.5</v>
      </c>
      <c r="J428" s="63"/>
      <c r="K428" s="122">
        <f t="shared" si="48"/>
        <v>221.14709760000002</v>
      </c>
      <c r="O428" s="112">
        <v>246.376</v>
      </c>
    </row>
    <row r="429" spans="1:15">
      <c r="A429" s="63" t="s">
        <v>356</v>
      </c>
      <c r="B429" s="63" t="s">
        <v>96</v>
      </c>
      <c r="C429" s="112">
        <v>251.30352000000002</v>
      </c>
      <c r="D429" s="125">
        <v>0.02</v>
      </c>
      <c r="E429" s="124">
        <v>0.04</v>
      </c>
      <c r="F429" s="119">
        <f t="shared" si="47"/>
        <v>150.78211200000001</v>
      </c>
      <c r="G429" s="5">
        <v>0.4</v>
      </c>
      <c r="H429" s="103">
        <f t="shared" si="46"/>
        <v>1.1023000000000001</v>
      </c>
      <c r="I429" s="68">
        <v>0.5</v>
      </c>
      <c r="J429" s="63"/>
      <c r="K429" s="122">
        <f t="shared" si="48"/>
        <v>221.14709760000002</v>
      </c>
      <c r="O429" s="112">
        <v>246.376</v>
      </c>
    </row>
    <row r="430" spans="1:15">
      <c r="A430" s="63" t="s">
        <v>357</v>
      </c>
      <c r="B430" s="63" t="s">
        <v>494</v>
      </c>
      <c r="C430" s="112">
        <v>251.30352000000002</v>
      </c>
      <c r="D430" s="125">
        <v>0.02</v>
      </c>
      <c r="E430" s="124">
        <v>0.04</v>
      </c>
      <c r="F430" s="119">
        <f t="shared" si="47"/>
        <v>150.78211200000001</v>
      </c>
      <c r="G430" s="5">
        <v>0.4</v>
      </c>
      <c r="H430" s="103">
        <f t="shared" si="46"/>
        <v>1.1023000000000001</v>
      </c>
      <c r="I430" s="68">
        <v>0.5</v>
      </c>
      <c r="J430" s="63"/>
      <c r="K430" s="122">
        <f t="shared" si="48"/>
        <v>221.14709760000002</v>
      </c>
      <c r="O430" s="112">
        <v>246.376</v>
      </c>
    </row>
    <row r="431" spans="1:15">
      <c r="A431" s="63" t="s">
        <v>358</v>
      </c>
      <c r="B431" s="63" t="s">
        <v>161</v>
      </c>
      <c r="C431" s="112">
        <v>251.30352000000002</v>
      </c>
      <c r="D431" s="125">
        <v>0.02</v>
      </c>
      <c r="E431" s="124">
        <v>0.04</v>
      </c>
      <c r="F431" s="119">
        <f t="shared" si="47"/>
        <v>150.78211200000001</v>
      </c>
      <c r="G431" s="5">
        <v>0.4</v>
      </c>
      <c r="H431" s="103">
        <v>1</v>
      </c>
      <c r="I431" s="68">
        <v>0.5</v>
      </c>
      <c r="J431" s="63"/>
      <c r="K431" s="122">
        <f t="shared" si="48"/>
        <v>221.14709760000002</v>
      </c>
      <c r="O431" s="112">
        <v>246.376</v>
      </c>
    </row>
    <row r="432" spans="1:15">
      <c r="A432" s="63" t="s">
        <v>359</v>
      </c>
      <c r="B432" s="63" t="s">
        <v>495</v>
      </c>
      <c r="C432" s="112">
        <v>251.30352000000002</v>
      </c>
      <c r="D432" s="125">
        <v>0.02</v>
      </c>
      <c r="E432" s="124">
        <v>0.04</v>
      </c>
      <c r="F432" s="119">
        <f t="shared" si="47"/>
        <v>150.78211200000001</v>
      </c>
      <c r="G432" s="5">
        <v>0.4</v>
      </c>
      <c r="H432" s="103">
        <f t="shared" si="46"/>
        <v>1.1023000000000001</v>
      </c>
      <c r="I432" s="68">
        <v>0.5</v>
      </c>
      <c r="J432" s="63"/>
      <c r="K432" s="122">
        <f t="shared" si="48"/>
        <v>221.14709760000002</v>
      </c>
      <c r="O432" s="112">
        <v>246.376</v>
      </c>
    </row>
    <row r="433" spans="1:15">
      <c r="A433" s="63" t="s">
        <v>360</v>
      </c>
      <c r="B433" s="63" t="s">
        <v>496</v>
      </c>
      <c r="C433" s="112">
        <v>251.30352000000002</v>
      </c>
      <c r="D433" s="125">
        <v>0.02</v>
      </c>
      <c r="E433" s="124">
        <v>0.04</v>
      </c>
      <c r="F433" s="119">
        <f t="shared" si="47"/>
        <v>150.78211200000001</v>
      </c>
      <c r="G433" s="5">
        <v>0.4</v>
      </c>
      <c r="H433" s="103">
        <f t="shared" si="46"/>
        <v>1.1023000000000001</v>
      </c>
      <c r="I433" s="68">
        <v>0.5</v>
      </c>
      <c r="J433" s="63"/>
      <c r="K433" s="122">
        <f t="shared" si="48"/>
        <v>221.14709760000002</v>
      </c>
      <c r="O433" s="112">
        <v>246.376</v>
      </c>
    </row>
    <row r="434" spans="1:15">
      <c r="A434" s="63" t="s">
        <v>361</v>
      </c>
      <c r="B434" s="63" t="s">
        <v>162</v>
      </c>
      <c r="C434" s="112">
        <v>251.30352000000002</v>
      </c>
      <c r="D434" s="125">
        <v>0.02</v>
      </c>
      <c r="E434" s="124">
        <v>0.04</v>
      </c>
      <c r="F434" s="119">
        <f t="shared" si="47"/>
        <v>150.78211200000001</v>
      </c>
      <c r="G434" s="5">
        <v>0.4</v>
      </c>
      <c r="H434" s="103">
        <f t="shared" si="46"/>
        <v>1.1023000000000001</v>
      </c>
      <c r="I434" s="68">
        <v>0.5</v>
      </c>
      <c r="J434" s="63"/>
      <c r="K434" s="122">
        <f t="shared" si="48"/>
        <v>221.14709760000002</v>
      </c>
      <c r="O434" s="112">
        <v>246.376</v>
      </c>
    </row>
    <row r="435" spans="1:15">
      <c r="A435" s="63" t="s">
        <v>362</v>
      </c>
      <c r="B435" s="63" t="s">
        <v>194</v>
      </c>
      <c r="C435" s="112">
        <v>251.30352000000002</v>
      </c>
      <c r="D435" s="125">
        <v>0.02</v>
      </c>
      <c r="E435" s="124">
        <v>0.04</v>
      </c>
      <c r="F435" s="119">
        <f t="shared" si="47"/>
        <v>150.78211200000001</v>
      </c>
      <c r="G435" s="5">
        <v>0.4</v>
      </c>
      <c r="H435" s="103">
        <f t="shared" si="46"/>
        <v>1.1023000000000001</v>
      </c>
      <c r="I435" s="68">
        <v>0.5</v>
      </c>
      <c r="J435" s="63"/>
      <c r="K435" s="122">
        <f t="shared" si="48"/>
        <v>221.14709760000002</v>
      </c>
      <c r="O435" s="112">
        <v>246.376</v>
      </c>
    </row>
    <row r="436" spans="1:15">
      <c r="A436" s="63" t="s">
        <v>363</v>
      </c>
      <c r="B436" s="63" t="s">
        <v>195</v>
      </c>
      <c r="C436" s="112">
        <v>251.30352000000002</v>
      </c>
      <c r="D436" s="125">
        <v>0.02</v>
      </c>
      <c r="E436" s="124">
        <v>0.04</v>
      </c>
      <c r="F436" s="119">
        <f t="shared" si="47"/>
        <v>150.78211200000001</v>
      </c>
      <c r="G436" s="5">
        <v>0.4</v>
      </c>
      <c r="H436" s="103">
        <f t="shared" si="46"/>
        <v>1.1023000000000001</v>
      </c>
      <c r="I436" s="68">
        <v>0.5</v>
      </c>
      <c r="J436" s="63"/>
      <c r="K436" s="122">
        <f t="shared" si="48"/>
        <v>221.14709760000002</v>
      </c>
      <c r="O436" s="112">
        <v>246.376</v>
      </c>
    </row>
    <row r="437" spans="1:15">
      <c r="A437" s="63" t="s">
        <v>364</v>
      </c>
      <c r="B437" s="63" t="s">
        <v>97</v>
      </c>
      <c r="C437" s="112">
        <v>251.30352000000002</v>
      </c>
      <c r="D437" s="125">
        <v>0.02</v>
      </c>
      <c r="E437" s="124">
        <v>0.04</v>
      </c>
      <c r="F437" s="119">
        <f t="shared" si="47"/>
        <v>150.78211200000001</v>
      </c>
      <c r="G437" s="5">
        <v>0.4</v>
      </c>
      <c r="H437" s="103">
        <f t="shared" si="46"/>
        <v>1.1023000000000001</v>
      </c>
      <c r="I437" s="68">
        <v>0.5</v>
      </c>
      <c r="J437" s="63"/>
      <c r="K437" s="122">
        <f t="shared" si="48"/>
        <v>221.14709760000002</v>
      </c>
      <c r="O437" s="112">
        <v>246.376</v>
      </c>
    </row>
    <row r="438" spans="1:15">
      <c r="A438" s="63" t="s">
        <v>55</v>
      </c>
      <c r="B438" s="63" t="s">
        <v>196</v>
      </c>
      <c r="C438" s="112">
        <v>1893.63408</v>
      </c>
      <c r="D438" s="125">
        <v>0.02</v>
      </c>
      <c r="E438" s="124">
        <v>0.04</v>
      </c>
      <c r="F438" s="119">
        <f t="shared" si="47"/>
        <v>1136.1804480000001</v>
      </c>
      <c r="G438" s="5">
        <v>0.4</v>
      </c>
      <c r="H438" s="103">
        <f>I438*2.2046</f>
        <v>2.6455199999999999</v>
      </c>
      <c r="I438" s="68">
        <v>1.2</v>
      </c>
      <c r="J438" s="63"/>
      <c r="K438" s="122">
        <f t="shared" si="48"/>
        <v>1666.3979904</v>
      </c>
      <c r="O438" s="112">
        <v>1856.5039999999999</v>
      </c>
    </row>
    <row r="439" spans="1:15">
      <c r="A439" s="63" t="s">
        <v>365</v>
      </c>
      <c r="B439" s="63" t="s">
        <v>484</v>
      </c>
      <c r="C439" s="112">
        <v>659.39328000000012</v>
      </c>
      <c r="D439" s="125">
        <v>0.02</v>
      </c>
      <c r="E439" s="124">
        <v>0.04</v>
      </c>
      <c r="F439" s="119">
        <f t="shared" si="47"/>
        <v>395.63596800000005</v>
      </c>
      <c r="G439" s="5">
        <v>0.4</v>
      </c>
      <c r="H439" s="103">
        <f>I439*2.2046</f>
        <v>6.6138000000000003</v>
      </c>
      <c r="I439" s="68">
        <v>3</v>
      </c>
      <c r="J439" s="63"/>
      <c r="K439" s="122">
        <f t="shared" si="48"/>
        <v>580.26608640000006</v>
      </c>
      <c r="O439" s="112">
        <v>646.46400000000006</v>
      </c>
    </row>
    <row r="440" spans="1:15">
      <c r="A440" s="63" t="s">
        <v>366</v>
      </c>
      <c r="B440" s="63" t="s">
        <v>485</v>
      </c>
      <c r="C440" s="112">
        <v>437.58</v>
      </c>
      <c r="D440" s="125">
        <v>0.02</v>
      </c>
      <c r="E440" s="124">
        <v>0.04</v>
      </c>
      <c r="F440" s="119">
        <f t="shared" si="47"/>
        <v>262.548</v>
      </c>
      <c r="G440" s="5">
        <v>0.4</v>
      </c>
      <c r="H440" s="103">
        <f>I440*2.2046</f>
        <v>6.6138000000000003</v>
      </c>
      <c r="I440" s="68">
        <v>3</v>
      </c>
      <c r="J440" s="63"/>
      <c r="K440" s="122">
        <f t="shared" si="48"/>
        <v>385.07040000000001</v>
      </c>
      <c r="O440" s="112">
        <v>429</v>
      </c>
    </row>
    <row r="441" spans="1:15">
      <c r="A441" s="63" t="s">
        <v>367</v>
      </c>
      <c r="B441" s="63" t="s">
        <v>486</v>
      </c>
      <c r="C441" s="112">
        <v>437.58</v>
      </c>
      <c r="D441" s="125">
        <v>0.02</v>
      </c>
      <c r="E441" s="124">
        <v>0.04</v>
      </c>
      <c r="F441" s="119">
        <f t="shared" si="47"/>
        <v>262.548</v>
      </c>
      <c r="G441" s="5">
        <v>0.4</v>
      </c>
      <c r="H441" s="103">
        <f>I441*2.2046</f>
        <v>6.6138000000000003</v>
      </c>
      <c r="I441" s="68">
        <v>3</v>
      </c>
      <c r="J441" s="63"/>
      <c r="K441" s="122">
        <f t="shared" si="48"/>
        <v>385.07040000000001</v>
      </c>
      <c r="O441" s="112">
        <v>429</v>
      </c>
    </row>
    <row r="442" spans="1:15">
      <c r="A442" s="77" t="s">
        <v>419</v>
      </c>
      <c r="B442" s="77" t="s">
        <v>420</v>
      </c>
      <c r="C442" s="116">
        <v>2970.2400000000002</v>
      </c>
      <c r="D442" s="125">
        <v>0.02</v>
      </c>
      <c r="E442" s="124">
        <v>0.04</v>
      </c>
      <c r="F442" s="120">
        <f t="shared" si="47"/>
        <v>1782.144</v>
      </c>
      <c r="G442" s="71">
        <v>0.4</v>
      </c>
      <c r="H442" s="103">
        <f t="shared" ref="H442:H444" si="49">I442*2.2046</f>
        <v>7.0547200000000005</v>
      </c>
      <c r="I442" s="100">
        <v>3.2</v>
      </c>
      <c r="J442" s="63"/>
      <c r="K442" s="122">
        <f t="shared" si="48"/>
        <v>2613.8112000000001</v>
      </c>
      <c r="O442" s="116">
        <v>2912</v>
      </c>
    </row>
    <row r="443" spans="1:15">
      <c r="A443" s="63" t="s">
        <v>421</v>
      </c>
      <c r="B443" s="63" t="s">
        <v>422</v>
      </c>
      <c r="C443" s="112">
        <v>1819.2720000000002</v>
      </c>
      <c r="D443" s="125">
        <v>0.02</v>
      </c>
      <c r="E443" s="124">
        <v>0.04</v>
      </c>
      <c r="F443" s="119">
        <f t="shared" si="47"/>
        <v>1091.5632000000001</v>
      </c>
      <c r="G443" s="5">
        <v>0.4</v>
      </c>
      <c r="H443" s="103">
        <f t="shared" si="49"/>
        <v>4.8501200000000004</v>
      </c>
      <c r="I443" s="100">
        <v>2.2000000000000002</v>
      </c>
      <c r="J443" s="63"/>
      <c r="K443" s="122">
        <f t="shared" si="48"/>
        <v>1600.9593600000001</v>
      </c>
      <c r="O443" s="112">
        <v>1783.6000000000001</v>
      </c>
    </row>
    <row r="444" spans="1:15">
      <c r="A444" s="63" t="s">
        <v>423</v>
      </c>
      <c r="B444" s="63" t="s">
        <v>424</v>
      </c>
      <c r="C444" s="112">
        <v>772.26240000000007</v>
      </c>
      <c r="D444" s="125">
        <v>0.02</v>
      </c>
      <c r="E444" s="124">
        <v>0.04</v>
      </c>
      <c r="F444" s="119">
        <f t="shared" si="47"/>
        <v>463.35744</v>
      </c>
      <c r="G444" s="5">
        <v>0.4</v>
      </c>
      <c r="H444" s="103">
        <f t="shared" si="49"/>
        <v>2.2046000000000001</v>
      </c>
      <c r="I444" s="68">
        <v>1</v>
      </c>
      <c r="J444" s="63"/>
      <c r="K444" s="122">
        <f t="shared" si="48"/>
        <v>679.59091200000012</v>
      </c>
      <c r="O444" s="112">
        <v>757.12</v>
      </c>
    </row>
    <row r="445" spans="1:15">
      <c r="A445" s="63" t="s">
        <v>425</v>
      </c>
      <c r="B445" s="63" t="s">
        <v>426</v>
      </c>
      <c r="C445" s="112">
        <v>159.12</v>
      </c>
      <c r="D445" s="125">
        <v>0.02</v>
      </c>
      <c r="E445" s="124">
        <v>0.04</v>
      </c>
      <c r="F445" s="119">
        <f t="shared" si="47"/>
        <v>95.471999999999994</v>
      </c>
      <c r="G445" s="5">
        <v>0.4</v>
      </c>
      <c r="H445" s="103">
        <v>1</v>
      </c>
      <c r="I445" s="68">
        <v>0.5</v>
      </c>
      <c r="J445" s="63"/>
      <c r="K445" s="122">
        <f t="shared" si="48"/>
        <v>140.0256</v>
      </c>
      <c r="O445" s="112">
        <v>156</v>
      </c>
    </row>
    <row r="446" spans="1:15">
      <c r="A446" s="63" t="s">
        <v>427</v>
      </c>
      <c r="B446" s="63" t="s">
        <v>428</v>
      </c>
      <c r="C446" s="112">
        <v>270.50400000000002</v>
      </c>
      <c r="D446" s="125">
        <v>0.02</v>
      </c>
      <c r="E446" s="124">
        <v>0.04</v>
      </c>
      <c r="F446" s="119">
        <f t="shared" ref="F446:F477" si="50">C446*(1-G446)</f>
        <v>162.30239999999998</v>
      </c>
      <c r="G446" s="5">
        <v>0.40000000000000008</v>
      </c>
      <c r="H446" s="103">
        <f t="shared" ref="H446:H460" si="51">I446*2.2046</f>
        <v>2.2046000000000001</v>
      </c>
      <c r="I446" s="68">
        <v>1</v>
      </c>
      <c r="J446" s="63"/>
      <c r="K446" s="122">
        <f t="shared" ref="K446:K477" si="52">C446*0.88</f>
        <v>238.04352000000003</v>
      </c>
      <c r="O446" s="112">
        <v>265.2</v>
      </c>
    </row>
    <row r="447" spans="1:15">
      <c r="A447" s="63" t="s">
        <v>429</v>
      </c>
      <c r="B447" s="63" t="s">
        <v>430</v>
      </c>
      <c r="C447" s="112">
        <v>270.50400000000002</v>
      </c>
      <c r="D447" s="125">
        <v>0.02</v>
      </c>
      <c r="E447" s="124">
        <v>0.04</v>
      </c>
      <c r="F447" s="119">
        <f t="shared" si="50"/>
        <v>162.30240000000001</v>
      </c>
      <c r="G447" s="5">
        <v>0.4</v>
      </c>
      <c r="H447" s="103">
        <f t="shared" si="51"/>
        <v>2.2046000000000001</v>
      </c>
      <c r="I447" s="68">
        <v>1</v>
      </c>
      <c r="J447" s="63"/>
      <c r="K447" s="122">
        <f t="shared" si="52"/>
        <v>238.04352000000003</v>
      </c>
      <c r="O447" s="112">
        <v>265.2</v>
      </c>
    </row>
    <row r="448" spans="1:15">
      <c r="A448" s="63" t="s">
        <v>431</v>
      </c>
      <c r="B448" s="63" t="s">
        <v>432</v>
      </c>
      <c r="C448" s="112">
        <v>270.50400000000002</v>
      </c>
      <c r="D448" s="125">
        <v>0.02</v>
      </c>
      <c r="E448" s="124">
        <v>0.04</v>
      </c>
      <c r="F448" s="119">
        <f t="shared" si="50"/>
        <v>162.30240000000001</v>
      </c>
      <c r="G448" s="5">
        <v>0.4</v>
      </c>
      <c r="H448" s="103">
        <f t="shared" si="51"/>
        <v>2.2046000000000001</v>
      </c>
      <c r="I448" s="68">
        <v>1</v>
      </c>
      <c r="J448" s="63"/>
      <c r="K448" s="122">
        <f t="shared" si="52"/>
        <v>238.04352000000003</v>
      </c>
      <c r="O448" s="112">
        <v>265.2</v>
      </c>
    </row>
    <row r="449" spans="1:15">
      <c r="A449" s="63" t="s">
        <v>433</v>
      </c>
      <c r="B449" s="63" t="s">
        <v>434</v>
      </c>
      <c r="C449" s="112">
        <v>270.50400000000002</v>
      </c>
      <c r="D449" s="125">
        <v>0.02</v>
      </c>
      <c r="E449" s="124">
        <v>0.04</v>
      </c>
      <c r="F449" s="119">
        <f t="shared" si="50"/>
        <v>162.30240000000001</v>
      </c>
      <c r="G449" s="5">
        <v>0.4</v>
      </c>
      <c r="H449" s="103">
        <f t="shared" si="51"/>
        <v>2.2046000000000001</v>
      </c>
      <c r="I449" s="68">
        <v>1</v>
      </c>
      <c r="J449" s="63"/>
      <c r="K449" s="122">
        <f t="shared" si="52"/>
        <v>238.04352000000003</v>
      </c>
      <c r="O449" s="112">
        <v>265.2</v>
      </c>
    </row>
    <row r="450" spans="1:15">
      <c r="A450" s="63" t="s">
        <v>435</v>
      </c>
      <c r="B450" s="63" t="s">
        <v>436</v>
      </c>
      <c r="C450" s="112">
        <v>270.50400000000002</v>
      </c>
      <c r="D450" s="125">
        <v>0.02</v>
      </c>
      <c r="E450" s="124">
        <v>0.04</v>
      </c>
      <c r="F450" s="119">
        <f t="shared" si="50"/>
        <v>162.30240000000001</v>
      </c>
      <c r="G450" s="5">
        <v>0.4</v>
      </c>
      <c r="H450" s="103">
        <f t="shared" si="51"/>
        <v>2.2046000000000001</v>
      </c>
      <c r="I450" s="68">
        <v>1</v>
      </c>
      <c r="J450" s="63"/>
      <c r="K450" s="122">
        <f t="shared" si="52"/>
        <v>238.04352000000003</v>
      </c>
      <c r="O450" s="112">
        <v>265.2</v>
      </c>
    </row>
    <row r="451" spans="1:15">
      <c r="A451" s="63" t="s">
        <v>437</v>
      </c>
      <c r="B451" s="63" t="s">
        <v>438</v>
      </c>
      <c r="C451" s="112">
        <v>270.50400000000002</v>
      </c>
      <c r="D451" s="125">
        <v>0.02</v>
      </c>
      <c r="E451" s="124">
        <v>0.04</v>
      </c>
      <c r="F451" s="119">
        <f t="shared" si="50"/>
        <v>162.30240000000001</v>
      </c>
      <c r="G451" s="5">
        <v>0.4</v>
      </c>
      <c r="H451" s="103">
        <f t="shared" si="51"/>
        <v>2.2046000000000001</v>
      </c>
      <c r="I451" s="68">
        <v>1</v>
      </c>
      <c r="J451" s="63"/>
      <c r="K451" s="122">
        <f t="shared" si="52"/>
        <v>238.04352000000003</v>
      </c>
      <c r="O451" s="112">
        <v>265.2</v>
      </c>
    </row>
    <row r="452" spans="1:15">
      <c r="A452" s="63" t="s">
        <v>439</v>
      </c>
      <c r="B452" s="63" t="s">
        <v>440</v>
      </c>
      <c r="C452" s="112">
        <v>416.16</v>
      </c>
      <c r="D452" s="125">
        <v>0.02</v>
      </c>
      <c r="E452" s="124">
        <v>0.6</v>
      </c>
      <c r="F452" s="119">
        <f t="shared" si="50"/>
        <v>249.696</v>
      </c>
      <c r="G452" s="5">
        <v>0.4</v>
      </c>
      <c r="H452" s="103">
        <f t="shared" si="51"/>
        <v>2.2046000000000001</v>
      </c>
      <c r="I452" s="68">
        <v>1</v>
      </c>
      <c r="J452" s="63"/>
      <c r="K452" s="122">
        <f t="shared" si="52"/>
        <v>366.2208</v>
      </c>
      <c r="O452" s="112">
        <v>408</v>
      </c>
    </row>
    <row r="453" spans="1:15">
      <c r="A453" s="63" t="s">
        <v>441</v>
      </c>
      <c r="B453" s="63" t="s">
        <v>442</v>
      </c>
      <c r="C453" s="112">
        <v>270.50400000000002</v>
      </c>
      <c r="D453" s="125">
        <v>0.02</v>
      </c>
      <c r="E453" s="124">
        <v>0.04</v>
      </c>
      <c r="F453" s="119">
        <f t="shared" si="50"/>
        <v>162.30240000000001</v>
      </c>
      <c r="G453" s="5">
        <v>0.4</v>
      </c>
      <c r="H453" s="103">
        <f t="shared" si="51"/>
        <v>2.2046000000000001</v>
      </c>
      <c r="I453" s="68">
        <v>1</v>
      </c>
      <c r="J453" s="63"/>
      <c r="K453" s="122">
        <f t="shared" si="52"/>
        <v>238.04352000000003</v>
      </c>
      <c r="O453" s="112">
        <v>265.2</v>
      </c>
    </row>
    <row r="454" spans="1:15">
      <c r="A454" s="63" t="s">
        <v>443</v>
      </c>
      <c r="B454" s="63" t="s">
        <v>444</v>
      </c>
      <c r="C454" s="112">
        <v>270.50400000000002</v>
      </c>
      <c r="D454" s="125">
        <v>0.02</v>
      </c>
      <c r="E454" s="124">
        <v>0.04</v>
      </c>
      <c r="F454" s="119">
        <f t="shared" si="50"/>
        <v>162.30240000000001</v>
      </c>
      <c r="G454" s="5">
        <v>0.4</v>
      </c>
      <c r="H454" s="103">
        <f t="shared" si="51"/>
        <v>2.2046000000000001</v>
      </c>
      <c r="I454" s="68">
        <v>1</v>
      </c>
      <c r="J454" s="63"/>
      <c r="K454" s="122">
        <f t="shared" si="52"/>
        <v>238.04352000000003</v>
      </c>
      <c r="O454" s="112">
        <v>265.2</v>
      </c>
    </row>
    <row r="455" spans="1:15">
      <c r="A455" s="63" t="s">
        <v>445</v>
      </c>
      <c r="B455" s="63" t="s">
        <v>446</v>
      </c>
      <c r="C455" s="112">
        <v>270.50400000000002</v>
      </c>
      <c r="D455" s="125">
        <v>0.02</v>
      </c>
      <c r="E455" s="124">
        <v>0.04</v>
      </c>
      <c r="F455" s="119">
        <f t="shared" si="50"/>
        <v>162.30240000000001</v>
      </c>
      <c r="G455" s="5">
        <v>0.4</v>
      </c>
      <c r="H455" s="103">
        <f t="shared" si="51"/>
        <v>2.2046000000000001</v>
      </c>
      <c r="I455" s="68">
        <v>1</v>
      </c>
      <c r="J455" s="63"/>
      <c r="K455" s="122">
        <f t="shared" si="52"/>
        <v>238.04352000000003</v>
      </c>
      <c r="O455" s="112">
        <v>265.2</v>
      </c>
    </row>
    <row r="456" spans="1:15">
      <c r="A456" s="63" t="s">
        <v>447</v>
      </c>
      <c r="B456" s="63" t="s">
        <v>448</v>
      </c>
      <c r="C456" s="112">
        <v>270.50400000000002</v>
      </c>
      <c r="D456" s="125">
        <v>0.02</v>
      </c>
      <c r="E456" s="124">
        <v>0.04</v>
      </c>
      <c r="F456" s="119">
        <f t="shared" si="50"/>
        <v>162.30240000000001</v>
      </c>
      <c r="G456" s="5">
        <v>0.4</v>
      </c>
      <c r="H456" s="103">
        <f t="shared" si="51"/>
        <v>2.2046000000000001</v>
      </c>
      <c r="I456" s="68">
        <v>1</v>
      </c>
      <c r="J456" s="63"/>
      <c r="K456" s="122">
        <f t="shared" si="52"/>
        <v>238.04352000000003</v>
      </c>
      <c r="O456" s="112">
        <v>265.2</v>
      </c>
    </row>
    <row r="457" spans="1:15">
      <c r="A457" s="63" t="s">
        <v>449</v>
      </c>
      <c r="B457" s="63" t="s">
        <v>450</v>
      </c>
      <c r="C457" s="112">
        <v>270.50400000000002</v>
      </c>
      <c r="D457" s="125">
        <v>0.02</v>
      </c>
      <c r="E457" s="124">
        <v>0.04</v>
      </c>
      <c r="F457" s="119">
        <f t="shared" si="50"/>
        <v>162.30240000000001</v>
      </c>
      <c r="G457" s="5">
        <v>0.4</v>
      </c>
      <c r="H457" s="103">
        <f t="shared" si="51"/>
        <v>2.2046000000000001</v>
      </c>
      <c r="I457" s="68">
        <v>1</v>
      </c>
      <c r="J457" s="63"/>
      <c r="K457" s="122">
        <f t="shared" si="52"/>
        <v>238.04352000000003</v>
      </c>
      <c r="O457" s="112">
        <v>265.2</v>
      </c>
    </row>
    <row r="458" spans="1:15" ht="17.850000000000001" customHeight="1">
      <c r="A458" s="63" t="s">
        <v>451</v>
      </c>
      <c r="B458" s="63" t="s">
        <v>452</v>
      </c>
      <c r="C458" s="112">
        <v>270.50400000000002</v>
      </c>
      <c r="D458" s="125">
        <v>0.02</v>
      </c>
      <c r="E458" s="124">
        <v>0.04</v>
      </c>
      <c r="F458" s="119">
        <f t="shared" si="50"/>
        <v>162.30240000000001</v>
      </c>
      <c r="G458" s="5">
        <v>0.4</v>
      </c>
      <c r="H458" s="103">
        <f t="shared" si="51"/>
        <v>2.2046000000000001</v>
      </c>
      <c r="I458" s="68">
        <v>1</v>
      </c>
      <c r="J458" s="63"/>
      <c r="K458" s="122">
        <f t="shared" si="52"/>
        <v>238.04352000000003</v>
      </c>
      <c r="O458" s="112">
        <v>265.2</v>
      </c>
    </row>
    <row r="459" spans="1:15" ht="17.850000000000001" customHeight="1">
      <c r="A459" s="63" t="s">
        <v>453</v>
      </c>
      <c r="B459" s="63" t="s">
        <v>454</v>
      </c>
      <c r="C459" s="112">
        <v>270.50400000000002</v>
      </c>
      <c r="D459" s="125">
        <v>0.02</v>
      </c>
      <c r="E459" s="124">
        <v>0.04</v>
      </c>
      <c r="F459" s="119">
        <f t="shared" si="50"/>
        <v>162.30240000000001</v>
      </c>
      <c r="G459" s="5">
        <v>0.4</v>
      </c>
      <c r="H459" s="103">
        <f t="shared" si="51"/>
        <v>2.2046000000000001</v>
      </c>
      <c r="I459" s="68">
        <v>1</v>
      </c>
      <c r="J459" s="63"/>
      <c r="K459" s="122">
        <f t="shared" si="52"/>
        <v>238.04352000000003</v>
      </c>
      <c r="O459" s="112">
        <v>265.2</v>
      </c>
    </row>
    <row r="460" spans="1:15" ht="17.850000000000001" customHeight="1">
      <c r="A460" s="63" t="s">
        <v>455</v>
      </c>
      <c r="B460" s="63" t="s">
        <v>511</v>
      </c>
      <c r="C460" s="112">
        <v>270.50400000000002</v>
      </c>
      <c r="D460" s="125">
        <v>0.02</v>
      </c>
      <c r="E460" s="124">
        <v>0.04</v>
      </c>
      <c r="F460" s="119">
        <f t="shared" si="50"/>
        <v>162.30240000000001</v>
      </c>
      <c r="G460" s="5">
        <v>0.4</v>
      </c>
      <c r="H460" s="103">
        <f t="shared" si="51"/>
        <v>2.2046000000000001</v>
      </c>
      <c r="I460" s="68">
        <v>1</v>
      </c>
      <c r="J460" s="63"/>
      <c r="K460" s="122">
        <f t="shared" si="52"/>
        <v>238.04352000000003</v>
      </c>
      <c r="O460" s="112">
        <v>265.2</v>
      </c>
    </row>
    <row r="461" spans="1:15" ht="17.850000000000001" customHeight="1">
      <c r="A461" s="63" t="s">
        <v>73</v>
      </c>
      <c r="B461" s="63" t="s">
        <v>200</v>
      </c>
      <c r="C461" s="112">
        <v>3059.2411200000006</v>
      </c>
      <c r="D461" s="125">
        <v>0.02</v>
      </c>
      <c r="E461" s="124">
        <v>0.04</v>
      </c>
      <c r="F461" s="119">
        <f t="shared" si="50"/>
        <v>1835.5446720000002</v>
      </c>
      <c r="G461" s="5">
        <v>0.4</v>
      </c>
      <c r="H461" s="103">
        <f t="shared" si="46"/>
        <v>10.141159999999999</v>
      </c>
      <c r="I461" s="68">
        <v>4.5999999999999996</v>
      </c>
      <c r="J461" s="63"/>
      <c r="K461" s="122">
        <f t="shared" si="52"/>
        <v>2692.1321856000004</v>
      </c>
      <c r="O461" s="112">
        <v>2999.2560000000003</v>
      </c>
    </row>
    <row r="462" spans="1:15" ht="17.850000000000001" customHeight="1">
      <c r="A462" s="63" t="s">
        <v>100</v>
      </c>
      <c r="B462" s="63" t="s">
        <v>34</v>
      </c>
      <c r="C462" s="112">
        <v>3451.4188800000002</v>
      </c>
      <c r="D462" s="125">
        <v>0.02</v>
      </c>
      <c r="E462" s="124">
        <v>0.04</v>
      </c>
      <c r="F462" s="119">
        <f t="shared" si="50"/>
        <v>2070.8513280000002</v>
      </c>
      <c r="G462" s="5">
        <v>0.4</v>
      </c>
      <c r="H462" s="103">
        <f t="shared" si="46"/>
        <v>10.141159999999999</v>
      </c>
      <c r="I462" s="68">
        <v>4.5999999999999996</v>
      </c>
      <c r="J462" s="63"/>
      <c r="K462" s="122">
        <f t="shared" si="52"/>
        <v>3037.2486144</v>
      </c>
      <c r="O462" s="112">
        <v>3383.7440000000001</v>
      </c>
    </row>
    <row r="463" spans="1:15" ht="17.850000000000001" customHeight="1">
      <c r="A463" s="63" t="s">
        <v>371</v>
      </c>
      <c r="B463" s="63" t="s">
        <v>237</v>
      </c>
      <c r="C463" s="112">
        <v>188.71632000000002</v>
      </c>
      <c r="D463" s="125">
        <v>0.02</v>
      </c>
      <c r="E463" s="124">
        <v>0.04</v>
      </c>
      <c r="F463" s="119">
        <f t="shared" si="50"/>
        <v>113.22979199999999</v>
      </c>
      <c r="G463" s="5">
        <v>0.40000000000000008</v>
      </c>
      <c r="H463" s="103">
        <f t="shared" si="46"/>
        <v>1.1023000000000001</v>
      </c>
      <c r="I463" s="68">
        <v>0.5</v>
      </c>
      <c r="J463" s="63"/>
      <c r="K463" s="122">
        <f t="shared" si="52"/>
        <v>166.07036160000001</v>
      </c>
      <c r="O463" s="112">
        <v>185.01600000000002</v>
      </c>
    </row>
    <row r="464" spans="1:15" ht="17.850000000000001" customHeight="1">
      <c r="A464" s="63" t="s">
        <v>372</v>
      </c>
      <c r="B464" s="63" t="s">
        <v>238</v>
      </c>
      <c r="C464" s="112">
        <v>188.71632000000002</v>
      </c>
      <c r="D464" s="125">
        <v>0.02</v>
      </c>
      <c r="E464" s="124">
        <v>0.04</v>
      </c>
      <c r="F464" s="119">
        <f t="shared" si="50"/>
        <v>113.22979199999999</v>
      </c>
      <c r="G464" s="5">
        <v>0.40000000000000008</v>
      </c>
      <c r="H464" s="103">
        <f t="shared" si="46"/>
        <v>1.1023000000000001</v>
      </c>
      <c r="I464" s="68">
        <v>0.5</v>
      </c>
      <c r="J464" s="63"/>
      <c r="K464" s="122">
        <f t="shared" si="52"/>
        <v>166.07036160000001</v>
      </c>
      <c r="O464" s="112">
        <v>185.01600000000002</v>
      </c>
    </row>
    <row r="465" spans="1:15" ht="17.850000000000001" customHeight="1">
      <c r="A465" s="63" t="s">
        <v>374</v>
      </c>
      <c r="B465" s="63" t="s">
        <v>239</v>
      </c>
      <c r="C465" s="112">
        <v>188.71632000000002</v>
      </c>
      <c r="D465" s="125">
        <v>0.02</v>
      </c>
      <c r="E465" s="124">
        <v>0.04</v>
      </c>
      <c r="F465" s="119">
        <f t="shared" si="50"/>
        <v>113.22979199999999</v>
      </c>
      <c r="G465" s="5">
        <v>0.40000000000000008</v>
      </c>
      <c r="H465" s="103">
        <f t="shared" si="46"/>
        <v>1.1023000000000001</v>
      </c>
      <c r="I465" s="68">
        <v>0.5</v>
      </c>
      <c r="J465" s="63"/>
      <c r="K465" s="122">
        <f t="shared" si="52"/>
        <v>166.07036160000001</v>
      </c>
      <c r="O465" s="112">
        <v>185.01600000000002</v>
      </c>
    </row>
    <row r="466" spans="1:15">
      <c r="A466" s="63" t="s">
        <v>375</v>
      </c>
      <c r="B466" s="63" t="s">
        <v>240</v>
      </c>
      <c r="C466" s="112">
        <v>188.71632000000002</v>
      </c>
      <c r="D466" s="125">
        <v>0.02</v>
      </c>
      <c r="E466" s="124">
        <v>0.04</v>
      </c>
      <c r="F466" s="119">
        <f t="shared" si="50"/>
        <v>113.22979199999999</v>
      </c>
      <c r="G466" s="5">
        <v>0.40000000000000008</v>
      </c>
      <c r="H466" s="103">
        <f t="shared" si="46"/>
        <v>1.1023000000000001</v>
      </c>
      <c r="I466" s="68">
        <v>0.5</v>
      </c>
      <c r="J466" s="63"/>
      <c r="K466" s="122">
        <f t="shared" si="52"/>
        <v>166.07036160000001</v>
      </c>
      <c r="O466" s="112">
        <v>185.01600000000002</v>
      </c>
    </row>
    <row r="467" spans="1:15">
      <c r="A467" s="63" t="s">
        <v>62</v>
      </c>
      <c r="B467" s="63" t="s">
        <v>98</v>
      </c>
      <c r="C467" s="112">
        <v>2526.08304</v>
      </c>
      <c r="D467" s="125">
        <v>0.02</v>
      </c>
      <c r="E467" s="124">
        <v>0.04</v>
      </c>
      <c r="F467" s="119">
        <f t="shared" si="50"/>
        <v>1515.6498239999999</v>
      </c>
      <c r="G467" s="5">
        <v>0.4</v>
      </c>
      <c r="H467" s="103">
        <f t="shared" si="46"/>
        <v>7.9365600000000009</v>
      </c>
      <c r="I467" s="68">
        <v>3.6</v>
      </c>
      <c r="J467" s="63"/>
      <c r="K467" s="122">
        <f t="shared" si="52"/>
        <v>2222.9530752000001</v>
      </c>
      <c r="O467" s="112">
        <v>2476.5520000000001</v>
      </c>
    </row>
    <row r="468" spans="1:15">
      <c r="A468" s="63" t="s">
        <v>376</v>
      </c>
      <c r="B468" s="63" t="s">
        <v>118</v>
      </c>
      <c r="C468" s="112">
        <v>188.71632000000002</v>
      </c>
      <c r="D468" s="125">
        <v>0.02</v>
      </c>
      <c r="E468" s="124">
        <v>0.04</v>
      </c>
      <c r="F468" s="119">
        <f t="shared" si="50"/>
        <v>113.22979199999999</v>
      </c>
      <c r="G468" s="5">
        <v>0.40000000000000008</v>
      </c>
      <c r="H468" s="103">
        <f>I468*2.2046</f>
        <v>1.1023000000000001</v>
      </c>
      <c r="I468" s="68">
        <v>0.5</v>
      </c>
      <c r="J468" s="63"/>
      <c r="K468" s="122">
        <f t="shared" si="52"/>
        <v>166.07036160000001</v>
      </c>
      <c r="O468" s="112">
        <v>185.01600000000002</v>
      </c>
    </row>
    <row r="469" spans="1:15">
      <c r="A469" s="63" t="s">
        <v>377</v>
      </c>
      <c r="B469" s="63" t="s">
        <v>313</v>
      </c>
      <c r="C469" s="112">
        <v>188.71632000000002</v>
      </c>
      <c r="D469" s="125">
        <v>0.02</v>
      </c>
      <c r="E469" s="124">
        <v>0.04</v>
      </c>
      <c r="F469" s="119">
        <f t="shared" si="50"/>
        <v>113.22979199999999</v>
      </c>
      <c r="G469" s="5">
        <v>0.40000000000000008</v>
      </c>
      <c r="H469" s="103">
        <f>I469*2.2046</f>
        <v>1.1023000000000001</v>
      </c>
      <c r="I469" s="68">
        <v>0.5</v>
      </c>
      <c r="J469" s="63"/>
      <c r="K469" s="122">
        <f t="shared" si="52"/>
        <v>166.07036160000001</v>
      </c>
      <c r="O469" s="112">
        <v>185.01600000000002</v>
      </c>
    </row>
    <row r="470" spans="1:15">
      <c r="A470" s="23" t="s">
        <v>250</v>
      </c>
      <c r="B470" s="61" t="s">
        <v>251</v>
      </c>
      <c r="C470" s="114">
        <v>169.983</v>
      </c>
      <c r="D470" s="125">
        <v>0.02</v>
      </c>
      <c r="E470" s="124">
        <v>0.04</v>
      </c>
      <c r="F470" s="119">
        <f t="shared" si="50"/>
        <v>101.98979999999997</v>
      </c>
      <c r="G470" s="5">
        <v>0.40000000000000008</v>
      </c>
      <c r="H470" s="103">
        <f t="shared" ref="H470:H471" si="53">I470*2.2046</f>
        <v>2.2046000000000001</v>
      </c>
      <c r="I470" s="100">
        <v>1</v>
      </c>
      <c r="J470" s="63"/>
      <c r="K470" s="122">
        <f t="shared" si="52"/>
        <v>149.58503999999999</v>
      </c>
      <c r="O470" s="114">
        <v>166.65</v>
      </c>
    </row>
    <row r="471" spans="1:15">
      <c r="A471" s="23" t="s">
        <v>252</v>
      </c>
      <c r="B471" s="61" t="s">
        <v>253</v>
      </c>
      <c r="C471" s="114">
        <v>169.983</v>
      </c>
      <c r="D471" s="125">
        <v>0.02</v>
      </c>
      <c r="E471" s="124">
        <v>0.04</v>
      </c>
      <c r="F471" s="119">
        <f t="shared" si="50"/>
        <v>101.98979999999997</v>
      </c>
      <c r="G471" s="5">
        <v>0.40000000000000008</v>
      </c>
      <c r="H471" s="103">
        <f t="shared" si="53"/>
        <v>2.2046000000000001</v>
      </c>
      <c r="I471" s="100">
        <v>1</v>
      </c>
      <c r="J471" s="63"/>
      <c r="K471" s="122">
        <f t="shared" si="52"/>
        <v>149.58503999999999</v>
      </c>
      <c r="O471" s="114">
        <v>166.65</v>
      </c>
    </row>
    <row r="472" spans="1:15">
      <c r="A472" s="23" t="s">
        <v>305</v>
      </c>
      <c r="B472" s="61" t="s">
        <v>306</v>
      </c>
      <c r="C472" s="114">
        <v>169.983</v>
      </c>
      <c r="D472" s="125">
        <v>0.02</v>
      </c>
      <c r="E472" s="124">
        <v>0.04</v>
      </c>
      <c r="F472" s="119">
        <f t="shared" si="50"/>
        <v>101.98979999999997</v>
      </c>
      <c r="G472" s="5">
        <v>0.40000000000000008</v>
      </c>
      <c r="H472" s="6">
        <v>1</v>
      </c>
      <c r="I472" s="68">
        <v>0.5</v>
      </c>
      <c r="J472" s="68"/>
      <c r="K472" s="122">
        <f t="shared" si="52"/>
        <v>149.58503999999999</v>
      </c>
      <c r="O472" s="114">
        <v>166.65</v>
      </c>
    </row>
    <row r="473" spans="1:15">
      <c r="A473" s="63" t="s">
        <v>63</v>
      </c>
      <c r="B473" s="63" t="s">
        <v>103</v>
      </c>
      <c r="C473" s="112">
        <v>2861.9323200000003</v>
      </c>
      <c r="D473" s="125">
        <v>0.02</v>
      </c>
      <c r="E473" s="124">
        <v>0.04</v>
      </c>
      <c r="F473" s="119">
        <f t="shared" si="50"/>
        <v>1717.1593920000003</v>
      </c>
      <c r="G473" s="5">
        <v>0.4</v>
      </c>
      <c r="H473" s="103">
        <f>I473*2.2046</f>
        <v>7.2751799999999998</v>
      </c>
      <c r="I473" s="68">
        <v>3.3</v>
      </c>
      <c r="J473" s="63"/>
      <c r="K473" s="122">
        <f t="shared" si="52"/>
        <v>2518.5004416000002</v>
      </c>
      <c r="O473" s="112">
        <v>2805.8160000000003</v>
      </c>
    </row>
    <row r="474" spans="1:15">
      <c r="A474" s="63" t="s">
        <v>378</v>
      </c>
      <c r="B474" s="63" t="s">
        <v>518</v>
      </c>
      <c r="C474" s="112">
        <v>188.71632000000002</v>
      </c>
      <c r="D474" s="125">
        <v>0.02</v>
      </c>
      <c r="E474" s="124">
        <v>0.04</v>
      </c>
      <c r="F474" s="119">
        <f t="shared" si="50"/>
        <v>113.22979199999999</v>
      </c>
      <c r="G474" s="5">
        <v>0.40000000000000008</v>
      </c>
      <c r="H474" s="103">
        <f>I474*2.2046</f>
        <v>1.1023000000000001</v>
      </c>
      <c r="I474" s="68">
        <v>0.5</v>
      </c>
      <c r="J474" s="63"/>
      <c r="K474" s="122">
        <f t="shared" si="52"/>
        <v>166.07036160000001</v>
      </c>
      <c r="O474" s="112">
        <v>185.01600000000002</v>
      </c>
    </row>
    <row r="475" spans="1:15">
      <c r="A475" s="63" t="s">
        <v>379</v>
      </c>
      <c r="B475" s="63" t="s">
        <v>40</v>
      </c>
      <c r="C475" s="112">
        <v>188.71632000000002</v>
      </c>
      <c r="D475" s="125">
        <v>0.02</v>
      </c>
      <c r="E475" s="124">
        <v>0.04</v>
      </c>
      <c r="F475" s="119">
        <f t="shared" si="50"/>
        <v>113.22979199999999</v>
      </c>
      <c r="G475" s="5">
        <v>0.40000000000000008</v>
      </c>
      <c r="H475" s="103">
        <f>I475*2.2046</f>
        <v>1.1023000000000001</v>
      </c>
      <c r="I475" s="68">
        <v>0.5</v>
      </c>
      <c r="J475" s="63"/>
      <c r="K475" s="122">
        <f t="shared" si="52"/>
        <v>166.07036160000001</v>
      </c>
      <c r="O475" s="112">
        <v>185.01600000000002</v>
      </c>
    </row>
    <row r="476" spans="1:15">
      <c r="A476" s="63" t="s">
        <v>64</v>
      </c>
      <c r="B476" s="63" t="s">
        <v>19</v>
      </c>
      <c r="C476" s="112">
        <v>3451.4188800000002</v>
      </c>
      <c r="D476" s="125">
        <v>0.02</v>
      </c>
      <c r="E476" s="124">
        <v>0.04</v>
      </c>
      <c r="F476" s="119">
        <f t="shared" si="50"/>
        <v>2070.8513280000002</v>
      </c>
      <c r="G476" s="5">
        <v>0.4</v>
      </c>
      <c r="H476" s="103">
        <f t="shared" si="46"/>
        <v>8.3774800000000003</v>
      </c>
      <c r="I476" s="105">
        <v>3.8</v>
      </c>
      <c r="J476" s="63"/>
      <c r="K476" s="122">
        <f t="shared" si="52"/>
        <v>3037.2486144</v>
      </c>
      <c r="O476" s="112">
        <v>3383.7440000000001</v>
      </c>
    </row>
    <row r="477" spans="1:15">
      <c r="A477" s="63" t="s">
        <v>66</v>
      </c>
      <c r="B477" s="63" t="s">
        <v>493</v>
      </c>
      <c r="C477" s="112">
        <v>817.55856000000006</v>
      </c>
      <c r="D477" s="125">
        <v>0.02</v>
      </c>
      <c r="E477" s="124">
        <v>0.04</v>
      </c>
      <c r="F477" s="119">
        <f t="shared" si="50"/>
        <v>490.53513599999991</v>
      </c>
      <c r="G477" s="5">
        <v>0.40000000000000008</v>
      </c>
      <c r="H477" s="103">
        <f t="shared" si="46"/>
        <v>3.5273600000000003</v>
      </c>
      <c r="I477" s="68">
        <v>1.6</v>
      </c>
      <c r="J477" s="63"/>
      <c r="K477" s="122">
        <f t="shared" si="52"/>
        <v>719.45153280000011</v>
      </c>
      <c r="O477" s="112">
        <v>801.52800000000002</v>
      </c>
    </row>
    <row r="478" spans="1:15">
      <c r="A478" s="63" t="s">
        <v>11</v>
      </c>
      <c r="B478" s="63" t="s">
        <v>12</v>
      </c>
      <c r="C478" s="112">
        <v>27.52572</v>
      </c>
      <c r="D478" s="125">
        <v>0.02</v>
      </c>
      <c r="E478" s="124">
        <v>0.03</v>
      </c>
      <c r="F478" s="119">
        <f t="shared" ref="F478:F499" si="54">C478*(1-G478)</f>
        <v>15.139146</v>
      </c>
      <c r="G478" s="5">
        <v>0.45</v>
      </c>
      <c r="H478" s="103">
        <v>1</v>
      </c>
      <c r="I478" s="100">
        <v>0.5</v>
      </c>
      <c r="J478" s="63"/>
      <c r="K478" s="122">
        <f t="shared" ref="K478:K499" si="55">C478*0.88</f>
        <v>24.222633599999998</v>
      </c>
      <c r="O478" s="112">
        <v>26.986000000000001</v>
      </c>
    </row>
    <row r="479" spans="1:15">
      <c r="A479" s="63" t="s">
        <v>13</v>
      </c>
      <c r="B479" s="63" t="s">
        <v>14</v>
      </c>
      <c r="C479" s="112">
        <v>27.52572</v>
      </c>
      <c r="D479" s="125">
        <v>0.02</v>
      </c>
      <c r="E479" s="124">
        <v>0.03</v>
      </c>
      <c r="F479" s="119">
        <f t="shared" si="54"/>
        <v>15.139146</v>
      </c>
      <c r="G479" s="5">
        <v>0.45</v>
      </c>
      <c r="H479" s="103">
        <v>1</v>
      </c>
      <c r="I479" s="100">
        <v>0.5</v>
      </c>
      <c r="J479" s="63"/>
      <c r="K479" s="122">
        <f t="shared" si="55"/>
        <v>24.222633599999998</v>
      </c>
      <c r="O479" s="112">
        <v>26.986000000000001</v>
      </c>
    </row>
    <row r="480" spans="1:15">
      <c r="A480" s="63" t="s">
        <v>58</v>
      </c>
      <c r="B480" s="63" t="s">
        <v>492</v>
      </c>
      <c r="C480" s="112">
        <v>1773.5515200000002</v>
      </c>
      <c r="D480" s="125">
        <v>0.02</v>
      </c>
      <c r="E480" s="124">
        <v>0.04</v>
      </c>
      <c r="F480" s="119">
        <f t="shared" si="54"/>
        <v>1064.1309120000003</v>
      </c>
      <c r="G480" s="5">
        <v>0.39999999999999997</v>
      </c>
      <c r="H480" s="103">
        <f t="shared" si="46"/>
        <v>3.5273600000000003</v>
      </c>
      <c r="I480" s="68">
        <v>1.6</v>
      </c>
      <c r="J480" s="63"/>
      <c r="K480" s="122">
        <f t="shared" si="55"/>
        <v>1560.7253376000001</v>
      </c>
      <c r="O480" s="112">
        <v>1738.7760000000001</v>
      </c>
    </row>
    <row r="481" spans="1:15">
      <c r="A481" s="63" t="s">
        <v>59</v>
      </c>
      <c r="B481" s="63" t="s">
        <v>416</v>
      </c>
      <c r="C481" s="112">
        <v>1911.9859200000001</v>
      </c>
      <c r="D481" s="125">
        <v>0.02</v>
      </c>
      <c r="E481" s="124">
        <v>0.04</v>
      </c>
      <c r="F481" s="119">
        <f t="shared" si="54"/>
        <v>1147.191552</v>
      </c>
      <c r="G481" s="5">
        <v>0.4</v>
      </c>
      <c r="H481" s="103">
        <f t="shared" si="46"/>
        <v>3.9682800000000005</v>
      </c>
      <c r="I481" s="68">
        <v>1.8</v>
      </c>
      <c r="J481" s="63"/>
      <c r="K481" s="122">
        <f t="shared" si="55"/>
        <v>1682.5476096</v>
      </c>
      <c r="O481" s="112">
        <v>1874.4960000000001</v>
      </c>
    </row>
    <row r="482" spans="1:15">
      <c r="A482" s="63" t="s">
        <v>67</v>
      </c>
      <c r="B482" s="63" t="s">
        <v>43</v>
      </c>
      <c r="C482" s="112">
        <v>1375.2211200000002</v>
      </c>
      <c r="D482" s="125">
        <v>0.02</v>
      </c>
      <c r="E482" s="124">
        <v>0.04</v>
      </c>
      <c r="F482" s="119">
        <f t="shared" si="54"/>
        <v>825.13267200000018</v>
      </c>
      <c r="G482" s="5">
        <v>0.39999999999999997</v>
      </c>
      <c r="H482" s="103">
        <f t="shared" si="46"/>
        <v>2.4250600000000002</v>
      </c>
      <c r="I482" s="68">
        <v>1.1000000000000001</v>
      </c>
      <c r="J482" s="63"/>
      <c r="K482" s="122">
        <f t="shared" si="55"/>
        <v>1210.1945856000002</v>
      </c>
      <c r="O482" s="112">
        <v>1348.2560000000001</v>
      </c>
    </row>
    <row r="483" spans="1:15">
      <c r="A483" s="63" t="s">
        <v>68</v>
      </c>
      <c r="B483" s="63" t="s">
        <v>18</v>
      </c>
      <c r="C483" s="112">
        <v>1593.3216000000002</v>
      </c>
      <c r="D483" s="125">
        <v>0.02</v>
      </c>
      <c r="E483" s="124">
        <v>0.04</v>
      </c>
      <c r="F483" s="119">
        <f t="shared" si="54"/>
        <v>955.99296000000004</v>
      </c>
      <c r="G483" s="5">
        <v>0.4</v>
      </c>
      <c r="H483" s="103">
        <f t="shared" si="46"/>
        <v>2.2046000000000001</v>
      </c>
      <c r="I483" s="68">
        <v>1</v>
      </c>
      <c r="J483" s="63"/>
      <c r="K483" s="122">
        <f t="shared" si="55"/>
        <v>1402.1230080000003</v>
      </c>
      <c r="O483" s="112">
        <v>1562.0800000000002</v>
      </c>
    </row>
    <row r="484" spans="1:15">
      <c r="A484" s="63" t="s">
        <v>56</v>
      </c>
      <c r="B484" s="63" t="s">
        <v>197</v>
      </c>
      <c r="C484" s="112">
        <v>2882.7240000000002</v>
      </c>
      <c r="D484" s="125">
        <v>0.02</v>
      </c>
      <c r="E484" s="124">
        <v>0.04</v>
      </c>
      <c r="F484" s="119">
        <f t="shared" si="54"/>
        <v>1729.6344000000004</v>
      </c>
      <c r="G484" s="5">
        <v>0.39999999999999997</v>
      </c>
      <c r="H484" s="103">
        <f t="shared" si="46"/>
        <v>7.0547200000000005</v>
      </c>
      <c r="I484" s="68">
        <v>3.2</v>
      </c>
      <c r="J484" s="63"/>
      <c r="K484" s="122">
        <f t="shared" si="55"/>
        <v>2536.7971200000002</v>
      </c>
      <c r="O484" s="112">
        <v>2826.2000000000003</v>
      </c>
    </row>
    <row r="485" spans="1:15">
      <c r="A485" s="63" t="s">
        <v>368</v>
      </c>
      <c r="B485" s="63" t="s">
        <v>198</v>
      </c>
      <c r="C485" s="112">
        <v>97.495680000000007</v>
      </c>
      <c r="D485" s="125">
        <v>0.02</v>
      </c>
      <c r="E485" s="124">
        <v>0.03</v>
      </c>
      <c r="F485" s="119">
        <f t="shared" si="54"/>
        <v>53.622624000000009</v>
      </c>
      <c r="G485" s="5">
        <v>0.45</v>
      </c>
      <c r="H485" s="103">
        <f t="shared" si="46"/>
        <v>2.2046000000000001</v>
      </c>
      <c r="I485" s="100">
        <v>1</v>
      </c>
      <c r="J485" s="63"/>
      <c r="K485" s="122">
        <f t="shared" si="55"/>
        <v>85.796198400000009</v>
      </c>
      <c r="O485" s="112">
        <v>95.584000000000003</v>
      </c>
    </row>
    <row r="486" spans="1:15">
      <c r="A486" s="63" t="s">
        <v>10</v>
      </c>
      <c r="B486" s="63" t="s">
        <v>199</v>
      </c>
      <c r="C486" s="112">
        <v>97.495680000000007</v>
      </c>
      <c r="D486" s="125">
        <v>0.02</v>
      </c>
      <c r="E486" s="124">
        <v>0.03</v>
      </c>
      <c r="F486" s="119">
        <f t="shared" si="54"/>
        <v>53.622624000000009</v>
      </c>
      <c r="G486" s="5">
        <v>0.45</v>
      </c>
      <c r="H486" s="103">
        <f t="shared" si="46"/>
        <v>2.2046000000000001</v>
      </c>
      <c r="I486" s="100">
        <v>1</v>
      </c>
      <c r="J486" s="63"/>
      <c r="K486" s="122">
        <f t="shared" si="55"/>
        <v>85.796198400000009</v>
      </c>
      <c r="O486" s="112">
        <v>95.584000000000003</v>
      </c>
    </row>
    <row r="487" spans="1:15">
      <c r="A487" s="63" t="s">
        <v>369</v>
      </c>
      <c r="B487" s="63" t="s">
        <v>156</v>
      </c>
      <c r="C487" s="112">
        <v>252.47040000000001</v>
      </c>
      <c r="D487" s="125">
        <v>0.02</v>
      </c>
      <c r="E487" s="124">
        <v>0.04</v>
      </c>
      <c r="F487" s="119">
        <f t="shared" si="54"/>
        <v>151.48223999999999</v>
      </c>
      <c r="G487" s="5">
        <v>0.4</v>
      </c>
      <c r="H487" s="103">
        <v>2</v>
      </c>
      <c r="I487" s="100">
        <v>1</v>
      </c>
      <c r="J487" s="63"/>
      <c r="K487" s="122">
        <f t="shared" si="55"/>
        <v>222.17395200000001</v>
      </c>
      <c r="O487" s="112">
        <v>247.52</v>
      </c>
    </row>
    <row r="488" spans="1:15" s="70" customFormat="1">
      <c r="A488" s="63" t="s">
        <v>104</v>
      </c>
      <c r="B488" s="63" t="s">
        <v>553</v>
      </c>
      <c r="C488" s="112">
        <v>1513.6555200000003</v>
      </c>
      <c r="D488" s="125">
        <v>0.02</v>
      </c>
      <c r="E488" s="124">
        <v>0.04</v>
      </c>
      <c r="F488" s="119">
        <f t="shared" si="54"/>
        <v>908.19331200000011</v>
      </c>
      <c r="G488" s="5">
        <v>0.4</v>
      </c>
      <c r="H488" s="103">
        <f t="shared" si="46"/>
        <v>4.4092000000000002</v>
      </c>
      <c r="I488" s="68">
        <v>2</v>
      </c>
      <c r="J488" s="63"/>
      <c r="K488" s="122">
        <f t="shared" si="55"/>
        <v>1332.0168576000003</v>
      </c>
      <c r="O488" s="112">
        <v>1483.9760000000001</v>
      </c>
    </row>
    <row r="489" spans="1:15">
      <c r="A489" s="63" t="s">
        <v>327</v>
      </c>
      <c r="B489" s="63" t="s">
        <v>551</v>
      </c>
      <c r="C489" s="112">
        <v>153.17952000000002</v>
      </c>
      <c r="D489" s="125">
        <v>0.02</v>
      </c>
      <c r="E489" s="124">
        <v>0.04</v>
      </c>
      <c r="F489" s="119">
        <f t="shared" si="54"/>
        <v>91.907712000000018</v>
      </c>
      <c r="G489" s="5">
        <v>0.4</v>
      </c>
      <c r="H489" s="103">
        <f t="shared" si="46"/>
        <v>2.2046000000000001</v>
      </c>
      <c r="I489" s="100">
        <v>1</v>
      </c>
      <c r="J489" s="63"/>
      <c r="K489" s="122">
        <f t="shared" si="55"/>
        <v>134.79797760000002</v>
      </c>
      <c r="O489" s="112">
        <v>150.17600000000002</v>
      </c>
    </row>
    <row r="490" spans="1:15">
      <c r="A490" s="63" t="s">
        <v>328</v>
      </c>
      <c r="B490" s="63" t="s">
        <v>552</v>
      </c>
      <c r="C490" s="112">
        <v>153.17952000000002</v>
      </c>
      <c r="D490" s="125">
        <v>0.02</v>
      </c>
      <c r="E490" s="124">
        <v>0.04</v>
      </c>
      <c r="F490" s="119">
        <f t="shared" si="54"/>
        <v>91.907712000000018</v>
      </c>
      <c r="G490" s="5">
        <v>0.4</v>
      </c>
      <c r="H490" s="103">
        <f t="shared" si="46"/>
        <v>2.2046000000000001</v>
      </c>
      <c r="I490" s="100">
        <v>1</v>
      </c>
      <c r="J490" s="63"/>
      <c r="K490" s="122">
        <f t="shared" si="55"/>
        <v>134.79797760000002</v>
      </c>
      <c r="O490" s="112">
        <v>150.17600000000002</v>
      </c>
    </row>
    <row r="491" spans="1:15">
      <c r="A491" s="63" t="s">
        <v>370</v>
      </c>
      <c r="B491" s="63" t="s">
        <v>191</v>
      </c>
      <c r="C491" s="112">
        <v>52.721760000000003</v>
      </c>
      <c r="D491" s="125">
        <v>0.02</v>
      </c>
      <c r="E491" s="124">
        <v>0.04</v>
      </c>
      <c r="F491" s="119">
        <f t="shared" si="54"/>
        <v>31.633056</v>
      </c>
      <c r="G491" s="5">
        <v>0.4</v>
      </c>
      <c r="H491" s="103">
        <v>1</v>
      </c>
      <c r="I491" s="100">
        <v>0.5</v>
      </c>
      <c r="J491" s="63"/>
      <c r="K491" s="122">
        <f t="shared" si="55"/>
        <v>46.395148800000001</v>
      </c>
      <c r="O491" s="112">
        <v>51.688000000000002</v>
      </c>
    </row>
    <row r="492" spans="1:15">
      <c r="A492" s="63" t="s">
        <v>60</v>
      </c>
      <c r="B492" s="63" t="s">
        <v>17</v>
      </c>
      <c r="C492" s="112">
        <v>1375.2211200000002</v>
      </c>
      <c r="D492" s="125">
        <v>0.02</v>
      </c>
      <c r="E492" s="124">
        <v>0.04</v>
      </c>
      <c r="F492" s="119">
        <f t="shared" si="54"/>
        <v>825.13267200000018</v>
      </c>
      <c r="G492" s="5">
        <v>0.39999999999999997</v>
      </c>
      <c r="H492" s="103">
        <f t="shared" si="46"/>
        <v>4.1887400000000001</v>
      </c>
      <c r="I492" s="68">
        <v>1.9</v>
      </c>
      <c r="J492" s="63"/>
      <c r="K492" s="122">
        <f t="shared" si="55"/>
        <v>1210.1945856000002</v>
      </c>
      <c r="O492" s="112">
        <v>1348.2560000000001</v>
      </c>
    </row>
    <row r="493" spans="1:15">
      <c r="A493" s="63" t="s">
        <v>15</v>
      </c>
      <c r="B493" s="63" t="s">
        <v>289</v>
      </c>
      <c r="C493" s="112">
        <v>124.39104000000002</v>
      </c>
      <c r="D493" s="125">
        <v>0.02</v>
      </c>
      <c r="E493" s="124">
        <v>0.03</v>
      </c>
      <c r="F493" s="119">
        <f t="shared" si="54"/>
        <v>68.415072000000009</v>
      </c>
      <c r="G493" s="5">
        <v>0.45</v>
      </c>
      <c r="H493" s="103">
        <v>4.8501200000000004</v>
      </c>
      <c r="I493" s="100">
        <v>2.2000000000000002</v>
      </c>
      <c r="J493" s="63"/>
      <c r="K493" s="122">
        <f t="shared" si="55"/>
        <v>109.46411520000002</v>
      </c>
      <c r="O493" s="112">
        <v>121.95200000000001</v>
      </c>
    </row>
    <row r="494" spans="1:15">
      <c r="A494" s="63" t="s">
        <v>326</v>
      </c>
      <c r="B494" s="63" t="s">
        <v>290</v>
      </c>
      <c r="C494" s="112">
        <v>63.75</v>
      </c>
      <c r="D494" s="125">
        <v>0.02</v>
      </c>
      <c r="E494" s="124">
        <v>0.03</v>
      </c>
      <c r="F494" s="119">
        <f t="shared" si="54"/>
        <v>35.0625</v>
      </c>
      <c r="G494" s="5">
        <v>0.45</v>
      </c>
      <c r="H494" s="103">
        <v>7.0547200000000005</v>
      </c>
      <c r="I494" s="68">
        <v>3.2</v>
      </c>
      <c r="J494" s="63"/>
      <c r="K494" s="122">
        <f t="shared" si="55"/>
        <v>56.1</v>
      </c>
      <c r="O494" s="112">
        <v>62.5</v>
      </c>
    </row>
    <row r="495" spans="1:15">
      <c r="A495" s="63" t="s">
        <v>57</v>
      </c>
      <c r="B495" s="63" t="s">
        <v>41</v>
      </c>
      <c r="C495" s="112">
        <v>2126.4796800000004</v>
      </c>
      <c r="D495" s="125">
        <v>0.02</v>
      </c>
      <c r="E495" s="124">
        <v>0.04</v>
      </c>
      <c r="F495" s="119">
        <f t="shared" si="54"/>
        <v>1275.8878080000002</v>
      </c>
      <c r="G495" s="5">
        <v>0.4</v>
      </c>
      <c r="H495" s="103">
        <f t="shared" si="46"/>
        <v>5.7319600000000008</v>
      </c>
      <c r="I495" s="68">
        <v>2.6</v>
      </c>
      <c r="J495" s="63"/>
      <c r="K495" s="122">
        <f t="shared" si="55"/>
        <v>1871.3021184000004</v>
      </c>
      <c r="O495" s="112">
        <v>2084.7840000000001</v>
      </c>
    </row>
    <row r="496" spans="1:15">
      <c r="A496" s="23" t="s">
        <v>250</v>
      </c>
      <c r="B496" s="61" t="s">
        <v>251</v>
      </c>
      <c r="C496" s="114">
        <v>169.983</v>
      </c>
      <c r="D496" s="125">
        <v>0.02</v>
      </c>
      <c r="E496" s="124">
        <v>0.04</v>
      </c>
      <c r="F496" s="119">
        <f t="shared" si="54"/>
        <v>101.98979999999997</v>
      </c>
      <c r="G496" s="5">
        <v>0.40000000000000008</v>
      </c>
      <c r="H496" s="103">
        <f t="shared" si="46"/>
        <v>2.2046000000000001</v>
      </c>
      <c r="I496" s="100">
        <v>1</v>
      </c>
      <c r="J496" s="63"/>
      <c r="K496" s="122">
        <f t="shared" si="55"/>
        <v>149.58503999999999</v>
      </c>
      <c r="O496" s="114">
        <v>166.65</v>
      </c>
    </row>
    <row r="497" spans="1:15">
      <c r="A497" s="23" t="s">
        <v>252</v>
      </c>
      <c r="B497" s="61" t="s">
        <v>253</v>
      </c>
      <c r="C497" s="114">
        <v>169.983</v>
      </c>
      <c r="D497" s="125">
        <v>0.02</v>
      </c>
      <c r="E497" s="124">
        <v>0.04</v>
      </c>
      <c r="F497" s="119">
        <f t="shared" si="54"/>
        <v>101.98979999999997</v>
      </c>
      <c r="G497" s="5">
        <v>0.40000000000000008</v>
      </c>
      <c r="H497" s="103">
        <f t="shared" si="46"/>
        <v>2.2046000000000001</v>
      </c>
      <c r="I497" s="100">
        <v>1</v>
      </c>
      <c r="J497" s="63"/>
      <c r="K497" s="122">
        <f t="shared" si="55"/>
        <v>149.58503999999999</v>
      </c>
      <c r="O497" s="114">
        <v>166.65</v>
      </c>
    </row>
    <row r="498" spans="1:15">
      <c r="A498" s="23" t="s">
        <v>305</v>
      </c>
      <c r="B498" s="61" t="s">
        <v>306</v>
      </c>
      <c r="C498" s="114">
        <v>169.983</v>
      </c>
      <c r="D498" s="125">
        <v>0.02</v>
      </c>
      <c r="E498" s="124">
        <v>0.04</v>
      </c>
      <c r="F498" s="119">
        <f t="shared" si="54"/>
        <v>101.98979999999997</v>
      </c>
      <c r="G498" s="5">
        <v>0.40000000000000008</v>
      </c>
      <c r="H498" s="6">
        <v>1</v>
      </c>
      <c r="I498" s="68">
        <v>0.5</v>
      </c>
      <c r="J498" s="68"/>
      <c r="K498" s="122">
        <f t="shared" si="55"/>
        <v>149.58503999999999</v>
      </c>
      <c r="O498" s="114">
        <v>166.65</v>
      </c>
    </row>
    <row r="499" spans="1:15">
      <c r="A499" s="63" t="s">
        <v>326</v>
      </c>
      <c r="B499" s="63" t="s">
        <v>290</v>
      </c>
      <c r="C499" s="112">
        <v>63.754080000000009</v>
      </c>
      <c r="D499" s="125">
        <v>0.02</v>
      </c>
      <c r="E499" s="124">
        <v>0.04</v>
      </c>
      <c r="F499" s="119">
        <f t="shared" si="54"/>
        <v>35.064744000000005</v>
      </c>
      <c r="G499" s="5">
        <v>0.45</v>
      </c>
      <c r="H499" s="103">
        <f t="shared" si="46"/>
        <v>7.0547200000000005</v>
      </c>
      <c r="I499" s="100">
        <v>3.2</v>
      </c>
      <c r="J499" s="63"/>
      <c r="K499" s="122">
        <f t="shared" si="55"/>
        <v>56.103590400000009</v>
      </c>
      <c r="O499" s="112">
        <v>62.504000000000005</v>
      </c>
    </row>
    <row r="500" spans="1:15">
      <c r="A500" s="63"/>
      <c r="B500" s="63"/>
      <c r="C500" s="112"/>
      <c r="D500" s="126"/>
      <c r="E500" s="124"/>
      <c r="F500" s="119"/>
      <c r="G500" s="5"/>
      <c r="H500" s="103"/>
      <c r="I500" s="100"/>
      <c r="J500" s="63"/>
      <c r="K500" s="122"/>
      <c r="O500" s="112"/>
    </row>
    <row r="501" spans="1:15">
      <c r="A501" s="63"/>
      <c r="B501" s="63"/>
      <c r="C501" s="112"/>
      <c r="D501" s="126"/>
      <c r="E501" s="124"/>
      <c r="F501" s="119"/>
      <c r="G501" s="5"/>
      <c r="H501" s="103"/>
      <c r="I501" s="100"/>
      <c r="J501" s="63"/>
      <c r="K501" s="122"/>
      <c r="O501" s="112"/>
    </row>
    <row r="502" spans="1:15" ht="18.75">
      <c r="A502" s="79" t="s">
        <v>36</v>
      </c>
      <c r="B502" s="63"/>
      <c r="C502" s="112"/>
      <c r="D502" s="126"/>
      <c r="E502" s="124"/>
      <c r="F502" s="119"/>
      <c r="G502" s="5"/>
      <c r="H502" s="103"/>
      <c r="I502" s="100"/>
      <c r="J502" s="63"/>
      <c r="K502" s="122"/>
      <c r="O502" s="112"/>
    </row>
    <row r="503" spans="1:15">
      <c r="A503" s="64" t="s">
        <v>105</v>
      </c>
      <c r="B503" s="64" t="s">
        <v>550</v>
      </c>
      <c r="C503" s="112">
        <v>17140.618560000003</v>
      </c>
      <c r="D503" s="125">
        <v>0.02</v>
      </c>
      <c r="E503" s="124">
        <v>0.04</v>
      </c>
      <c r="F503" s="119">
        <f t="shared" ref="F503:F534" si="56">C503*(1-G503)</f>
        <v>10284.371136</v>
      </c>
      <c r="G503" s="5">
        <v>0.40000000000000008</v>
      </c>
      <c r="H503" s="103">
        <f t="shared" si="46"/>
        <v>222.66460000000001</v>
      </c>
      <c r="I503" s="100">
        <v>101</v>
      </c>
      <c r="J503" s="63"/>
      <c r="K503" s="122">
        <f t="shared" ref="K503:K534" si="57">C503*0.88</f>
        <v>15083.744332800003</v>
      </c>
      <c r="O503" s="112">
        <v>16804.528000000002</v>
      </c>
    </row>
    <row r="504" spans="1:15">
      <c r="A504" s="64" t="s">
        <v>186</v>
      </c>
      <c r="B504" s="64" t="s">
        <v>187</v>
      </c>
      <c r="C504" s="112">
        <v>17140.618560000003</v>
      </c>
      <c r="D504" s="125">
        <v>0.02</v>
      </c>
      <c r="E504" s="124">
        <v>0.04</v>
      </c>
      <c r="F504" s="119">
        <f t="shared" si="56"/>
        <v>10284.371136</v>
      </c>
      <c r="G504" s="5">
        <v>0.40000000000000008</v>
      </c>
      <c r="H504" s="103">
        <f t="shared" si="46"/>
        <v>222.66460000000001</v>
      </c>
      <c r="I504" s="100">
        <v>101</v>
      </c>
      <c r="J504" s="63"/>
      <c r="K504" s="122">
        <f t="shared" si="57"/>
        <v>15083.744332800003</v>
      </c>
      <c r="O504" s="112">
        <v>16804.528000000002</v>
      </c>
    </row>
    <row r="505" spans="1:15" ht="30">
      <c r="A505" s="77" t="s">
        <v>311</v>
      </c>
      <c r="B505" s="78" t="s">
        <v>312</v>
      </c>
      <c r="C505" s="116">
        <v>235.72200000000001</v>
      </c>
      <c r="D505" s="125">
        <v>0.02</v>
      </c>
      <c r="E505" s="124">
        <v>0</v>
      </c>
      <c r="F505" s="120">
        <f t="shared" si="56"/>
        <v>141.4332</v>
      </c>
      <c r="G505" s="71">
        <v>0.4</v>
      </c>
      <c r="H505" s="103">
        <v>5</v>
      </c>
      <c r="I505" s="100">
        <v>2.5</v>
      </c>
      <c r="J505" s="92"/>
      <c r="K505" s="122">
        <f t="shared" si="57"/>
        <v>207.43536</v>
      </c>
      <c r="O505" s="116">
        <v>231.1</v>
      </c>
    </row>
    <row r="506" spans="1:15">
      <c r="A506" s="63" t="s">
        <v>65</v>
      </c>
      <c r="B506" s="63" t="s">
        <v>470</v>
      </c>
      <c r="C506" s="112">
        <v>1825.0003200000001</v>
      </c>
      <c r="D506" s="125">
        <v>0.02</v>
      </c>
      <c r="E506" s="124">
        <v>0.04</v>
      </c>
      <c r="F506" s="119">
        <f t="shared" si="56"/>
        <v>1095.0001920000002</v>
      </c>
      <c r="G506" s="5">
        <v>0.39999999999999997</v>
      </c>
      <c r="H506" s="103">
        <f t="shared" si="46"/>
        <v>3.3069000000000002</v>
      </c>
      <c r="I506" s="68">
        <v>1.5</v>
      </c>
      <c r="J506" s="63"/>
      <c r="K506" s="122">
        <f t="shared" si="57"/>
        <v>1606.0002816000001</v>
      </c>
      <c r="O506" s="112">
        <v>1789.2160000000001</v>
      </c>
    </row>
    <row r="507" spans="1:15">
      <c r="A507" s="63" t="s">
        <v>399</v>
      </c>
      <c r="B507" s="63" t="s">
        <v>256</v>
      </c>
      <c r="C507" s="112">
        <v>144.58704</v>
      </c>
      <c r="D507" s="125">
        <v>0.02</v>
      </c>
      <c r="E507" s="124">
        <v>0.04</v>
      </c>
      <c r="F507" s="119">
        <f t="shared" si="56"/>
        <v>86.752224000000012</v>
      </c>
      <c r="G507" s="5">
        <v>0.39999999999999997</v>
      </c>
      <c r="H507" s="103">
        <v>1</v>
      </c>
      <c r="I507" s="68">
        <v>0.5</v>
      </c>
      <c r="J507" s="63"/>
      <c r="K507" s="122">
        <f t="shared" si="57"/>
        <v>127.2365952</v>
      </c>
      <c r="O507" s="112">
        <v>141.75200000000001</v>
      </c>
    </row>
    <row r="508" spans="1:15">
      <c r="A508" s="63" t="s">
        <v>400</v>
      </c>
      <c r="B508" s="63" t="s">
        <v>254</v>
      </c>
      <c r="C508" s="112">
        <v>144.58704</v>
      </c>
      <c r="D508" s="125">
        <v>0.02</v>
      </c>
      <c r="E508" s="124">
        <v>0.04</v>
      </c>
      <c r="F508" s="119">
        <f t="shared" si="56"/>
        <v>86.752224000000012</v>
      </c>
      <c r="G508" s="5">
        <v>0.39999999999999997</v>
      </c>
      <c r="H508" s="103">
        <v>1</v>
      </c>
      <c r="I508" s="68">
        <v>0.5</v>
      </c>
      <c r="J508" s="63"/>
      <c r="K508" s="122">
        <f t="shared" si="57"/>
        <v>127.2365952</v>
      </c>
      <c r="O508" s="112">
        <v>141.75200000000001</v>
      </c>
    </row>
    <row r="509" spans="1:15">
      <c r="A509" s="63" t="s">
        <v>401</v>
      </c>
      <c r="B509" s="63" t="s">
        <v>255</v>
      </c>
      <c r="C509" s="112">
        <v>178.95696000000001</v>
      </c>
      <c r="D509" s="125">
        <v>0.02</v>
      </c>
      <c r="E509" s="124">
        <v>0.04</v>
      </c>
      <c r="F509" s="119">
        <f t="shared" si="56"/>
        <v>107.37417600000002</v>
      </c>
      <c r="G509" s="5">
        <v>0.39999999999999997</v>
      </c>
      <c r="H509" s="103">
        <v>1</v>
      </c>
      <c r="I509" s="68">
        <v>0.5</v>
      </c>
      <c r="J509" s="63"/>
      <c r="K509" s="122">
        <f t="shared" si="57"/>
        <v>157.48212480000001</v>
      </c>
      <c r="O509" s="112">
        <v>175.44800000000001</v>
      </c>
    </row>
    <row r="510" spans="1:15">
      <c r="A510" s="63" t="s">
        <v>62</v>
      </c>
      <c r="B510" s="63" t="s">
        <v>98</v>
      </c>
      <c r="C510" s="112">
        <v>2526.08304</v>
      </c>
      <c r="D510" s="125">
        <v>0.02</v>
      </c>
      <c r="E510" s="124">
        <v>0.04</v>
      </c>
      <c r="F510" s="119">
        <f t="shared" si="56"/>
        <v>1515.6498239999999</v>
      </c>
      <c r="G510" s="5">
        <v>0.4</v>
      </c>
      <c r="H510" s="103">
        <f t="shared" ref="H510" si="58">I510*2.2046</f>
        <v>7.9365600000000009</v>
      </c>
      <c r="I510" s="68">
        <v>3.6</v>
      </c>
      <c r="J510" s="63"/>
      <c r="K510" s="122">
        <f t="shared" si="57"/>
        <v>2222.9530752000001</v>
      </c>
      <c r="O510" s="112">
        <v>2476.5520000000001</v>
      </c>
    </row>
    <row r="511" spans="1:15">
      <c r="A511" s="63" t="s">
        <v>376</v>
      </c>
      <c r="B511" s="63" t="s">
        <v>118</v>
      </c>
      <c r="C511" s="112">
        <v>188.71632000000002</v>
      </c>
      <c r="D511" s="125">
        <v>0.02</v>
      </c>
      <c r="E511" s="124">
        <v>0.04</v>
      </c>
      <c r="F511" s="119">
        <f t="shared" si="56"/>
        <v>113.22979199999999</v>
      </c>
      <c r="G511" s="5">
        <v>0.40000000000000008</v>
      </c>
      <c r="H511" s="103">
        <f>I511*2.2046</f>
        <v>1.1023000000000001</v>
      </c>
      <c r="I511" s="68">
        <v>0.5</v>
      </c>
      <c r="J511" s="63"/>
      <c r="K511" s="122">
        <f t="shared" si="57"/>
        <v>166.07036160000001</v>
      </c>
      <c r="O511" s="112">
        <v>185.01600000000002</v>
      </c>
    </row>
    <row r="512" spans="1:15">
      <c r="A512" s="63" t="s">
        <v>377</v>
      </c>
      <c r="B512" s="63" t="s">
        <v>313</v>
      </c>
      <c r="C512" s="112">
        <v>188.71632000000002</v>
      </c>
      <c r="D512" s="125">
        <v>0.02</v>
      </c>
      <c r="E512" s="124">
        <v>0.04</v>
      </c>
      <c r="F512" s="119">
        <f t="shared" si="56"/>
        <v>113.22979199999999</v>
      </c>
      <c r="G512" s="5">
        <v>0.40000000000000008</v>
      </c>
      <c r="H512" s="103">
        <f>I512*2.2046</f>
        <v>1.1023000000000001</v>
      </c>
      <c r="I512" s="68">
        <v>0.5</v>
      </c>
      <c r="J512" s="63"/>
      <c r="K512" s="122">
        <f t="shared" si="57"/>
        <v>166.07036160000001</v>
      </c>
      <c r="O512" s="112">
        <v>185.01600000000002</v>
      </c>
    </row>
    <row r="513" spans="1:15">
      <c r="A513" s="63" t="s">
        <v>250</v>
      </c>
      <c r="B513" s="63" t="s">
        <v>301</v>
      </c>
      <c r="C513" s="114">
        <v>169.983</v>
      </c>
      <c r="D513" s="125">
        <v>0.02</v>
      </c>
      <c r="E513" s="124">
        <v>0.04</v>
      </c>
      <c r="F513" s="119">
        <f t="shared" si="56"/>
        <v>101.98979999999997</v>
      </c>
      <c r="G513" s="5">
        <v>0.40000000000000008</v>
      </c>
      <c r="H513" s="103">
        <f t="shared" ref="H513:H514" si="59">I513*2.2046</f>
        <v>2.2046000000000001</v>
      </c>
      <c r="I513" s="100">
        <v>1</v>
      </c>
      <c r="J513" s="63"/>
      <c r="K513" s="122">
        <f t="shared" si="57"/>
        <v>149.58503999999999</v>
      </c>
      <c r="O513" s="114">
        <v>166.65</v>
      </c>
    </row>
    <row r="514" spans="1:15">
      <c r="A514" s="63" t="s">
        <v>252</v>
      </c>
      <c r="B514" s="63" t="s">
        <v>302</v>
      </c>
      <c r="C514" s="114">
        <v>169.983</v>
      </c>
      <c r="D514" s="125">
        <v>0.02</v>
      </c>
      <c r="E514" s="124">
        <v>0.04</v>
      </c>
      <c r="F514" s="119">
        <f t="shared" si="56"/>
        <v>101.98979999999997</v>
      </c>
      <c r="G514" s="5">
        <v>0.40000000000000008</v>
      </c>
      <c r="H514" s="103">
        <f t="shared" si="59"/>
        <v>2.2046000000000001</v>
      </c>
      <c r="I514" s="100">
        <v>1</v>
      </c>
      <c r="J514" s="63"/>
      <c r="K514" s="122">
        <f t="shared" si="57"/>
        <v>149.58503999999999</v>
      </c>
      <c r="O514" s="114">
        <v>166.65</v>
      </c>
    </row>
    <row r="515" spans="1:15">
      <c r="A515" s="63" t="s">
        <v>63</v>
      </c>
      <c r="B515" s="63" t="s">
        <v>103</v>
      </c>
      <c r="C515" s="112">
        <v>2861.9323200000003</v>
      </c>
      <c r="D515" s="125">
        <v>0.02</v>
      </c>
      <c r="E515" s="124">
        <v>0.04</v>
      </c>
      <c r="F515" s="119">
        <f t="shared" si="56"/>
        <v>1717.1593920000003</v>
      </c>
      <c r="G515" s="5">
        <v>0.4</v>
      </c>
      <c r="H515" s="103">
        <f>I515*2.2046</f>
        <v>7.2751799999999998</v>
      </c>
      <c r="I515" s="68">
        <v>3.3</v>
      </c>
      <c r="J515" s="63"/>
      <c r="K515" s="122">
        <f t="shared" si="57"/>
        <v>2518.5004416000002</v>
      </c>
      <c r="O515" s="112">
        <v>2805.8160000000003</v>
      </c>
    </row>
    <row r="516" spans="1:15">
      <c r="A516" s="63" t="s">
        <v>378</v>
      </c>
      <c r="B516" s="63" t="s">
        <v>518</v>
      </c>
      <c r="C516" s="112">
        <v>188.71632000000002</v>
      </c>
      <c r="D516" s="125">
        <v>0.02</v>
      </c>
      <c r="E516" s="124">
        <v>0.04</v>
      </c>
      <c r="F516" s="119">
        <f t="shared" si="56"/>
        <v>113.22979199999999</v>
      </c>
      <c r="G516" s="5">
        <v>0.40000000000000008</v>
      </c>
      <c r="H516" s="103">
        <f>I516*2.2046</f>
        <v>1.1023000000000001</v>
      </c>
      <c r="I516" s="68">
        <v>0.5</v>
      </c>
      <c r="J516" s="63"/>
      <c r="K516" s="122">
        <f t="shared" si="57"/>
        <v>166.07036160000001</v>
      </c>
      <c r="O516" s="112">
        <v>185.01600000000002</v>
      </c>
    </row>
    <row r="517" spans="1:15">
      <c r="A517" s="63" t="s">
        <v>379</v>
      </c>
      <c r="B517" s="63" t="s">
        <v>40</v>
      </c>
      <c r="C517" s="112">
        <v>188.71632000000002</v>
      </c>
      <c r="D517" s="125">
        <v>0.02</v>
      </c>
      <c r="E517" s="124">
        <v>0.04</v>
      </c>
      <c r="F517" s="119">
        <f t="shared" si="56"/>
        <v>113.22979199999999</v>
      </c>
      <c r="G517" s="5">
        <v>0.40000000000000008</v>
      </c>
      <c r="H517" s="103">
        <f>I517*2.2046</f>
        <v>1.1023000000000001</v>
      </c>
      <c r="I517" s="68">
        <v>0.5</v>
      </c>
      <c r="J517" s="63"/>
      <c r="K517" s="122">
        <f t="shared" si="57"/>
        <v>166.07036160000001</v>
      </c>
      <c r="O517" s="112">
        <v>185.01600000000002</v>
      </c>
    </row>
    <row r="518" spans="1:15">
      <c r="A518" s="63" t="s">
        <v>100</v>
      </c>
      <c r="B518" s="63" t="s">
        <v>554</v>
      </c>
      <c r="C518" s="112">
        <v>3451.4188800000002</v>
      </c>
      <c r="D518" s="125">
        <v>0.02</v>
      </c>
      <c r="E518" s="124">
        <v>0.04</v>
      </c>
      <c r="F518" s="119">
        <f t="shared" si="56"/>
        <v>2070.8513280000002</v>
      </c>
      <c r="G518" s="5">
        <v>0.4</v>
      </c>
      <c r="H518" s="103">
        <f t="shared" ref="H518:H552" si="60">I518*2.2046</f>
        <v>10.141159999999999</v>
      </c>
      <c r="I518" s="68">
        <v>4.5999999999999996</v>
      </c>
      <c r="J518" s="63"/>
      <c r="K518" s="122">
        <f t="shared" si="57"/>
        <v>3037.2486144</v>
      </c>
      <c r="O518" s="112">
        <v>3383.7440000000001</v>
      </c>
    </row>
    <row r="519" spans="1:15">
      <c r="A519" s="63" t="s">
        <v>61</v>
      </c>
      <c r="B519" s="63" t="s">
        <v>472</v>
      </c>
      <c r="C519" s="112">
        <v>3059.2411200000006</v>
      </c>
      <c r="D519" s="125">
        <v>0.02</v>
      </c>
      <c r="E519" s="124">
        <v>0.04</v>
      </c>
      <c r="F519" s="119">
        <f t="shared" si="56"/>
        <v>1835.5446720000002</v>
      </c>
      <c r="G519" s="5">
        <v>0.4</v>
      </c>
      <c r="H519" s="103">
        <f t="shared" si="60"/>
        <v>11.904840000000002</v>
      </c>
      <c r="I519" s="68">
        <v>5.4</v>
      </c>
      <c r="J519" s="63"/>
      <c r="K519" s="122">
        <f t="shared" si="57"/>
        <v>2692.1321856000004</v>
      </c>
      <c r="O519" s="112">
        <v>2999.2560000000003</v>
      </c>
    </row>
    <row r="520" spans="1:15">
      <c r="A520" s="63" t="s">
        <v>371</v>
      </c>
      <c r="B520" s="63" t="s">
        <v>237</v>
      </c>
      <c r="C520" s="112">
        <v>188.71632000000002</v>
      </c>
      <c r="D520" s="125">
        <v>0.02</v>
      </c>
      <c r="E520" s="124">
        <v>0.04</v>
      </c>
      <c r="F520" s="119">
        <f t="shared" si="56"/>
        <v>113.22979199999999</v>
      </c>
      <c r="G520" s="5">
        <v>0.40000000000000008</v>
      </c>
      <c r="H520" s="103">
        <f>I520*2.2046</f>
        <v>1.1023000000000001</v>
      </c>
      <c r="I520" s="68">
        <v>0.5</v>
      </c>
      <c r="J520" s="63"/>
      <c r="K520" s="122">
        <f t="shared" si="57"/>
        <v>166.07036160000001</v>
      </c>
      <c r="O520" s="112">
        <v>185.01600000000002</v>
      </c>
    </row>
    <row r="521" spans="1:15">
      <c r="A521" s="63" t="s">
        <v>372</v>
      </c>
      <c r="B521" s="63" t="s">
        <v>238</v>
      </c>
      <c r="C521" s="112">
        <v>188.71632000000002</v>
      </c>
      <c r="D521" s="125">
        <v>0.02</v>
      </c>
      <c r="E521" s="124">
        <v>0.04</v>
      </c>
      <c r="F521" s="119">
        <f t="shared" si="56"/>
        <v>113.22979199999999</v>
      </c>
      <c r="G521" s="5">
        <v>0.40000000000000008</v>
      </c>
      <c r="H521" s="103">
        <f>I521*2.2046</f>
        <v>1.1023000000000001</v>
      </c>
      <c r="I521" s="68">
        <v>0.5</v>
      </c>
      <c r="J521" s="63"/>
      <c r="K521" s="122">
        <f t="shared" si="57"/>
        <v>166.07036160000001</v>
      </c>
      <c r="O521" s="112">
        <v>185.01600000000002</v>
      </c>
    </row>
    <row r="522" spans="1:15">
      <c r="A522" s="63" t="s">
        <v>374</v>
      </c>
      <c r="B522" s="63" t="s">
        <v>239</v>
      </c>
      <c r="C522" s="112">
        <v>188.71632000000002</v>
      </c>
      <c r="D522" s="125">
        <v>0.02</v>
      </c>
      <c r="E522" s="124">
        <v>0.04</v>
      </c>
      <c r="F522" s="119">
        <f t="shared" si="56"/>
        <v>113.22979199999999</v>
      </c>
      <c r="G522" s="5">
        <v>0.40000000000000008</v>
      </c>
      <c r="H522" s="103">
        <f>I522*2.2046</f>
        <v>1.1023000000000001</v>
      </c>
      <c r="I522" s="68">
        <v>0.5</v>
      </c>
      <c r="J522" s="63"/>
      <c r="K522" s="122">
        <f t="shared" si="57"/>
        <v>166.07036160000001</v>
      </c>
      <c r="O522" s="112">
        <v>185.01600000000002</v>
      </c>
    </row>
    <row r="523" spans="1:15">
      <c r="A523" s="63" t="s">
        <v>375</v>
      </c>
      <c r="B523" s="63" t="s">
        <v>240</v>
      </c>
      <c r="C523" s="112">
        <v>188.71632000000002</v>
      </c>
      <c r="D523" s="125">
        <v>0.02</v>
      </c>
      <c r="E523" s="124">
        <v>0.04</v>
      </c>
      <c r="F523" s="119">
        <f t="shared" si="56"/>
        <v>113.22979199999999</v>
      </c>
      <c r="G523" s="5">
        <v>0.40000000000000008</v>
      </c>
      <c r="H523" s="103">
        <f>I523*2.2046</f>
        <v>1.1023000000000001</v>
      </c>
      <c r="I523" s="68">
        <v>0.5</v>
      </c>
      <c r="J523" s="63"/>
      <c r="K523" s="122">
        <f t="shared" si="57"/>
        <v>166.07036160000001</v>
      </c>
      <c r="O523" s="112">
        <v>185.01600000000002</v>
      </c>
    </row>
    <row r="524" spans="1:15">
      <c r="A524" s="63" t="s">
        <v>59</v>
      </c>
      <c r="B524" s="63" t="s">
        <v>417</v>
      </c>
      <c r="C524" s="112">
        <v>1911.9859200000001</v>
      </c>
      <c r="D524" s="125">
        <v>0.02</v>
      </c>
      <c r="E524" s="124">
        <v>0.04</v>
      </c>
      <c r="F524" s="119">
        <f t="shared" si="56"/>
        <v>1147.191552</v>
      </c>
      <c r="G524" s="5">
        <v>0.4</v>
      </c>
      <c r="H524" s="103">
        <f t="shared" si="60"/>
        <v>3.9682800000000005</v>
      </c>
      <c r="I524" s="68">
        <v>1.8</v>
      </c>
      <c r="J524" s="63"/>
      <c r="K524" s="122">
        <f t="shared" si="57"/>
        <v>1682.5476096</v>
      </c>
      <c r="O524" s="112">
        <v>1874.4960000000001</v>
      </c>
    </row>
    <row r="525" spans="1:15">
      <c r="A525" s="63" t="s">
        <v>11</v>
      </c>
      <c r="B525" s="63" t="s">
        <v>12</v>
      </c>
      <c r="C525" s="112">
        <v>27.52572</v>
      </c>
      <c r="D525" s="125">
        <v>0.02</v>
      </c>
      <c r="E525" s="124">
        <v>0.03</v>
      </c>
      <c r="F525" s="119">
        <f t="shared" si="56"/>
        <v>15.139146</v>
      </c>
      <c r="G525" s="5">
        <v>0.45</v>
      </c>
      <c r="H525" s="103">
        <v>1</v>
      </c>
      <c r="I525" s="100">
        <v>0.5</v>
      </c>
      <c r="J525" s="63"/>
      <c r="K525" s="122">
        <f t="shared" si="57"/>
        <v>24.222633599999998</v>
      </c>
      <c r="O525" s="112">
        <v>26.986000000000001</v>
      </c>
    </row>
    <row r="526" spans="1:15">
      <c r="A526" s="63" t="s">
        <v>13</v>
      </c>
      <c r="B526" s="63" t="s">
        <v>14</v>
      </c>
      <c r="C526" s="112">
        <v>27.52572</v>
      </c>
      <c r="D526" s="125">
        <v>0.02</v>
      </c>
      <c r="E526" s="124">
        <v>0.03</v>
      </c>
      <c r="F526" s="119">
        <f t="shared" si="56"/>
        <v>15.139146</v>
      </c>
      <c r="G526" s="5">
        <v>0.45</v>
      </c>
      <c r="H526" s="103">
        <v>1</v>
      </c>
      <c r="I526" s="100">
        <v>0.5</v>
      </c>
      <c r="J526" s="63"/>
      <c r="K526" s="122">
        <f t="shared" si="57"/>
        <v>24.222633599999998</v>
      </c>
      <c r="O526" s="112">
        <v>26.986000000000001</v>
      </c>
    </row>
    <row r="527" spans="1:15">
      <c r="A527" s="63" t="s">
        <v>64</v>
      </c>
      <c r="B527" s="63" t="s">
        <v>19</v>
      </c>
      <c r="C527" s="112">
        <v>3451.4188800000002</v>
      </c>
      <c r="D527" s="125">
        <v>0.02</v>
      </c>
      <c r="E527" s="124">
        <v>0.04</v>
      </c>
      <c r="F527" s="119">
        <f t="shared" si="56"/>
        <v>2070.8513280000002</v>
      </c>
      <c r="G527" s="5">
        <v>0.4</v>
      </c>
      <c r="H527" s="103">
        <f t="shared" si="60"/>
        <v>8.3774800000000003</v>
      </c>
      <c r="I527" s="105">
        <v>3.8</v>
      </c>
      <c r="J527" s="63"/>
      <c r="K527" s="122">
        <f t="shared" si="57"/>
        <v>3037.2486144</v>
      </c>
      <c r="O527" s="112">
        <v>3383.7440000000001</v>
      </c>
    </row>
    <row r="528" spans="1:15">
      <c r="A528" s="63" t="s">
        <v>57</v>
      </c>
      <c r="B528" s="63" t="s">
        <v>41</v>
      </c>
      <c r="C528" s="112">
        <v>2126.4796800000004</v>
      </c>
      <c r="D528" s="125">
        <v>0.02</v>
      </c>
      <c r="E528" s="124">
        <v>0.04</v>
      </c>
      <c r="F528" s="119">
        <f t="shared" si="56"/>
        <v>1275.8878080000002</v>
      </c>
      <c r="G528" s="5">
        <v>0.4</v>
      </c>
      <c r="H528" s="103">
        <f t="shared" si="60"/>
        <v>5.7319600000000008</v>
      </c>
      <c r="I528" s="68">
        <v>2.6</v>
      </c>
      <c r="J528" s="63"/>
      <c r="K528" s="122">
        <f t="shared" si="57"/>
        <v>1871.3021184000004</v>
      </c>
      <c r="O528" s="112">
        <v>2084.7840000000001</v>
      </c>
    </row>
    <row r="529" spans="1:15">
      <c r="A529" s="63" t="s">
        <v>250</v>
      </c>
      <c r="B529" s="63" t="s">
        <v>301</v>
      </c>
      <c r="C529" s="114">
        <v>169.983</v>
      </c>
      <c r="D529" s="125">
        <v>0.02</v>
      </c>
      <c r="E529" s="124">
        <v>0.04</v>
      </c>
      <c r="F529" s="119">
        <f t="shared" si="56"/>
        <v>101.98979999999997</v>
      </c>
      <c r="G529" s="5">
        <v>0.40000000000000008</v>
      </c>
      <c r="H529" s="103">
        <f t="shared" si="60"/>
        <v>2.2046000000000001</v>
      </c>
      <c r="I529" s="100">
        <v>1</v>
      </c>
      <c r="J529" s="63"/>
      <c r="K529" s="122">
        <f t="shared" si="57"/>
        <v>149.58503999999999</v>
      </c>
      <c r="O529" s="114">
        <v>166.65</v>
      </c>
    </row>
    <row r="530" spans="1:15">
      <c r="A530" s="63" t="s">
        <v>252</v>
      </c>
      <c r="B530" s="63" t="s">
        <v>302</v>
      </c>
      <c r="C530" s="114">
        <v>169.983</v>
      </c>
      <c r="D530" s="125">
        <v>0.02</v>
      </c>
      <c r="E530" s="124">
        <v>0.04</v>
      </c>
      <c r="F530" s="119">
        <f t="shared" si="56"/>
        <v>101.98979999999997</v>
      </c>
      <c r="G530" s="5">
        <v>0.40000000000000008</v>
      </c>
      <c r="H530" s="103">
        <f t="shared" si="60"/>
        <v>2.2046000000000001</v>
      </c>
      <c r="I530" s="100">
        <v>1</v>
      </c>
      <c r="J530" s="63"/>
      <c r="K530" s="122">
        <f t="shared" si="57"/>
        <v>149.58503999999999</v>
      </c>
      <c r="O530" s="114">
        <v>166.65</v>
      </c>
    </row>
    <row r="531" spans="1:15">
      <c r="A531" s="67" t="s">
        <v>305</v>
      </c>
      <c r="B531" s="66" t="s">
        <v>471</v>
      </c>
      <c r="C531" s="114">
        <v>169.983</v>
      </c>
      <c r="D531" s="125">
        <v>0.02</v>
      </c>
      <c r="E531" s="124">
        <v>0.04</v>
      </c>
      <c r="F531" s="119">
        <f t="shared" si="56"/>
        <v>101.98979999999997</v>
      </c>
      <c r="G531" s="5">
        <v>0.40000000000000008</v>
      </c>
      <c r="H531" s="6">
        <v>1</v>
      </c>
      <c r="I531" s="68">
        <v>0.5</v>
      </c>
      <c r="J531" s="68"/>
      <c r="K531" s="122">
        <f t="shared" si="57"/>
        <v>149.58503999999999</v>
      </c>
      <c r="O531" s="114">
        <v>166.65</v>
      </c>
    </row>
    <row r="532" spans="1:15">
      <c r="A532" s="63" t="s">
        <v>326</v>
      </c>
      <c r="B532" s="63" t="s">
        <v>290</v>
      </c>
      <c r="C532" s="112">
        <v>63.754080000000009</v>
      </c>
      <c r="D532" s="125">
        <v>0.02</v>
      </c>
      <c r="E532" s="124">
        <v>0.04</v>
      </c>
      <c r="F532" s="119">
        <f t="shared" si="56"/>
        <v>35.064744000000005</v>
      </c>
      <c r="G532" s="5">
        <v>0.45</v>
      </c>
      <c r="H532" s="103">
        <f t="shared" si="60"/>
        <v>7.0547200000000005</v>
      </c>
      <c r="I532" s="100">
        <v>3.2</v>
      </c>
      <c r="J532" s="63"/>
      <c r="K532" s="122">
        <f t="shared" si="57"/>
        <v>56.103590400000009</v>
      </c>
      <c r="O532" s="112">
        <v>62.504000000000005</v>
      </c>
    </row>
    <row r="533" spans="1:15">
      <c r="A533" s="63" t="s">
        <v>72</v>
      </c>
      <c r="B533" s="63" t="s">
        <v>202</v>
      </c>
      <c r="C533" s="112">
        <v>5006.7638400000005</v>
      </c>
      <c r="D533" s="125">
        <v>0.02</v>
      </c>
      <c r="E533" s="124">
        <v>0.04</v>
      </c>
      <c r="F533" s="119">
        <f t="shared" si="56"/>
        <v>3004.0583040000001</v>
      </c>
      <c r="G533" s="5">
        <v>0.4</v>
      </c>
      <c r="H533" s="103">
        <f t="shared" si="60"/>
        <v>18.077719999999999</v>
      </c>
      <c r="I533" s="105">
        <v>8.1999999999999993</v>
      </c>
      <c r="J533" s="63"/>
      <c r="K533" s="122">
        <f t="shared" si="57"/>
        <v>4405.9521792000005</v>
      </c>
      <c r="O533" s="112">
        <v>4908.5920000000006</v>
      </c>
    </row>
    <row r="534" spans="1:15">
      <c r="A534" s="63" t="s">
        <v>520</v>
      </c>
      <c r="B534" s="63" t="s">
        <v>521</v>
      </c>
      <c r="C534" s="112">
        <v>258.62304</v>
      </c>
      <c r="D534" s="125">
        <v>0.02</v>
      </c>
      <c r="E534" s="124">
        <v>0.04</v>
      </c>
      <c r="F534" s="119">
        <f t="shared" si="56"/>
        <v>155.173824</v>
      </c>
      <c r="G534" s="5">
        <v>0.4</v>
      </c>
      <c r="H534" s="103">
        <f t="shared" si="60"/>
        <v>2.2046000000000001</v>
      </c>
      <c r="I534" s="105">
        <v>1</v>
      </c>
      <c r="J534" s="63"/>
      <c r="K534" s="122">
        <f t="shared" si="57"/>
        <v>227.5882752</v>
      </c>
      <c r="O534" s="112">
        <v>253.55200000000002</v>
      </c>
    </row>
    <row r="535" spans="1:15">
      <c r="A535" s="63" t="s">
        <v>522</v>
      </c>
      <c r="B535" s="63" t="s">
        <v>523</v>
      </c>
      <c r="C535" s="112">
        <v>236.64000000000001</v>
      </c>
      <c r="D535" s="125">
        <v>0.02</v>
      </c>
      <c r="E535" s="124">
        <v>0</v>
      </c>
      <c r="F535" s="119">
        <f t="shared" ref="F535:F552" si="61">C535*(1-G535)</f>
        <v>141.98400000000001</v>
      </c>
      <c r="G535" s="5">
        <v>0.4</v>
      </c>
      <c r="H535" s="4">
        <v>10</v>
      </c>
      <c r="I535" s="98">
        <v>5</v>
      </c>
      <c r="J535" s="63"/>
      <c r="K535" s="122">
        <f t="shared" ref="K535:K552" si="62">C535*0.88</f>
        <v>208.2432</v>
      </c>
      <c r="O535" s="112">
        <v>232</v>
      </c>
    </row>
    <row r="536" spans="1:15">
      <c r="A536" s="63" t="s">
        <v>524</v>
      </c>
      <c r="B536" s="63" t="s">
        <v>525</v>
      </c>
      <c r="C536" s="112">
        <v>198.9</v>
      </c>
      <c r="D536" s="125">
        <v>0.02</v>
      </c>
      <c r="E536" s="124">
        <v>0</v>
      </c>
      <c r="F536" s="119">
        <f t="shared" si="61"/>
        <v>119.34</v>
      </c>
      <c r="G536" s="5">
        <v>0.4</v>
      </c>
      <c r="H536" s="4">
        <v>10</v>
      </c>
      <c r="I536" s="98">
        <v>5</v>
      </c>
      <c r="J536" s="63"/>
      <c r="K536" s="122">
        <f t="shared" si="62"/>
        <v>175.03200000000001</v>
      </c>
      <c r="O536" s="112">
        <v>195</v>
      </c>
    </row>
    <row r="537" spans="1:15">
      <c r="A537" s="63" t="s">
        <v>394</v>
      </c>
      <c r="B537" s="63" t="s">
        <v>31</v>
      </c>
      <c r="C537" s="112">
        <v>258.62304</v>
      </c>
      <c r="D537" s="125">
        <v>0.02</v>
      </c>
      <c r="E537" s="124">
        <v>0.04</v>
      </c>
      <c r="F537" s="119">
        <f t="shared" si="61"/>
        <v>155.173824</v>
      </c>
      <c r="G537" s="5">
        <v>0.4</v>
      </c>
      <c r="H537" s="103">
        <f t="shared" si="60"/>
        <v>2.2046000000000001</v>
      </c>
      <c r="I537" s="105">
        <v>1</v>
      </c>
      <c r="J537" s="63"/>
      <c r="K537" s="122">
        <f t="shared" si="62"/>
        <v>227.5882752</v>
      </c>
      <c r="O537" s="112">
        <v>253.55200000000002</v>
      </c>
    </row>
    <row r="538" spans="1:15">
      <c r="A538" s="63" t="s">
        <v>395</v>
      </c>
      <c r="B538" s="63" t="s">
        <v>32</v>
      </c>
      <c r="C538" s="112">
        <v>258.62304</v>
      </c>
      <c r="D538" s="125">
        <v>0.02</v>
      </c>
      <c r="E538" s="124">
        <v>0.04</v>
      </c>
      <c r="F538" s="119">
        <f t="shared" si="61"/>
        <v>155.173824</v>
      </c>
      <c r="G538" s="5">
        <v>0.4</v>
      </c>
      <c r="H538" s="103">
        <f t="shared" si="60"/>
        <v>2.2046000000000001</v>
      </c>
      <c r="I538" s="105">
        <v>1</v>
      </c>
      <c r="J538" s="63"/>
      <c r="K538" s="122">
        <f t="shared" si="62"/>
        <v>227.5882752</v>
      </c>
      <c r="O538" s="112">
        <v>253.55200000000002</v>
      </c>
    </row>
    <row r="539" spans="1:15">
      <c r="A539" s="63" t="s">
        <v>396</v>
      </c>
      <c r="B539" s="63" t="s">
        <v>33</v>
      </c>
      <c r="C539" s="112">
        <v>258.62304</v>
      </c>
      <c r="D539" s="125">
        <v>0.02</v>
      </c>
      <c r="E539" s="124">
        <v>0.04</v>
      </c>
      <c r="F539" s="119">
        <f t="shared" si="61"/>
        <v>155.173824</v>
      </c>
      <c r="G539" s="5">
        <v>0.4</v>
      </c>
      <c r="H539" s="103">
        <f t="shared" si="60"/>
        <v>2.2046000000000001</v>
      </c>
      <c r="I539" s="105">
        <v>1</v>
      </c>
      <c r="J539" s="63"/>
      <c r="K539" s="122">
        <f t="shared" si="62"/>
        <v>227.5882752</v>
      </c>
      <c r="O539" s="112">
        <v>253.55200000000002</v>
      </c>
    </row>
    <row r="540" spans="1:15">
      <c r="A540" s="63" t="s">
        <v>56</v>
      </c>
      <c r="B540" s="63" t="s">
        <v>197</v>
      </c>
      <c r="C540" s="112">
        <v>2882.7240000000002</v>
      </c>
      <c r="D540" s="125">
        <v>0.02</v>
      </c>
      <c r="E540" s="124">
        <v>0.04</v>
      </c>
      <c r="F540" s="119">
        <f t="shared" si="61"/>
        <v>1729.6344000000004</v>
      </c>
      <c r="G540" s="5">
        <v>0.39999999999999997</v>
      </c>
      <c r="H540" s="103">
        <f t="shared" si="60"/>
        <v>7.0547200000000005</v>
      </c>
      <c r="I540" s="105">
        <v>3.2</v>
      </c>
      <c r="J540" s="63"/>
      <c r="K540" s="122">
        <f t="shared" si="62"/>
        <v>2536.7971200000002</v>
      </c>
      <c r="O540" s="112">
        <v>2826.2000000000003</v>
      </c>
    </row>
    <row r="541" spans="1:15">
      <c r="A541" s="63" t="s">
        <v>368</v>
      </c>
      <c r="B541" s="63" t="s">
        <v>198</v>
      </c>
      <c r="C541" s="112">
        <v>97.495680000000007</v>
      </c>
      <c r="D541" s="125">
        <v>0.02</v>
      </c>
      <c r="E541" s="124">
        <v>0.03</v>
      </c>
      <c r="F541" s="119">
        <f t="shared" si="61"/>
        <v>53.622624000000009</v>
      </c>
      <c r="G541" s="5">
        <v>0.45</v>
      </c>
      <c r="H541" s="103">
        <f t="shared" si="60"/>
        <v>2.2046000000000001</v>
      </c>
      <c r="I541" s="100">
        <v>1</v>
      </c>
      <c r="J541" s="63"/>
      <c r="K541" s="122">
        <f t="shared" si="62"/>
        <v>85.796198400000009</v>
      </c>
      <c r="O541" s="112">
        <v>95.584000000000003</v>
      </c>
    </row>
    <row r="542" spans="1:15">
      <c r="A542" s="63" t="s">
        <v>10</v>
      </c>
      <c r="B542" s="63" t="s">
        <v>199</v>
      </c>
      <c r="C542" s="112">
        <v>97.495680000000007</v>
      </c>
      <c r="D542" s="125">
        <v>0.02</v>
      </c>
      <c r="E542" s="124">
        <v>0.03</v>
      </c>
      <c r="F542" s="119">
        <f t="shared" si="61"/>
        <v>53.622624000000009</v>
      </c>
      <c r="G542" s="5">
        <v>0.45</v>
      </c>
      <c r="H542" s="103">
        <f t="shared" si="60"/>
        <v>2.2046000000000001</v>
      </c>
      <c r="I542" s="100">
        <v>1</v>
      </c>
      <c r="J542" s="63"/>
      <c r="K542" s="122">
        <f t="shared" si="62"/>
        <v>85.796198400000009</v>
      </c>
      <c r="O542" s="112">
        <v>95.584000000000003</v>
      </c>
    </row>
    <row r="543" spans="1:15">
      <c r="A543" s="63" t="s">
        <v>369</v>
      </c>
      <c r="B543" s="63" t="s">
        <v>156</v>
      </c>
      <c r="C543" s="112">
        <v>252.47040000000001</v>
      </c>
      <c r="D543" s="125">
        <v>0.02</v>
      </c>
      <c r="E543" s="124">
        <v>0.04</v>
      </c>
      <c r="F543" s="119">
        <f t="shared" si="61"/>
        <v>151.48223999999999</v>
      </c>
      <c r="G543" s="5">
        <v>0.4</v>
      </c>
      <c r="H543" s="103">
        <v>2</v>
      </c>
      <c r="I543" s="100">
        <v>1</v>
      </c>
      <c r="J543" s="63"/>
      <c r="K543" s="122">
        <f t="shared" si="62"/>
        <v>222.17395200000001</v>
      </c>
      <c r="O543" s="112">
        <v>247.52</v>
      </c>
    </row>
    <row r="544" spans="1:15">
      <c r="A544" s="63" t="s">
        <v>71</v>
      </c>
      <c r="B544" s="63" t="s">
        <v>21</v>
      </c>
      <c r="C544" s="112">
        <v>2874.1315200000004</v>
      </c>
      <c r="D544" s="125">
        <v>0.02</v>
      </c>
      <c r="E544" s="124">
        <v>0.04</v>
      </c>
      <c r="F544" s="119">
        <f t="shared" si="61"/>
        <v>1724.4789120000005</v>
      </c>
      <c r="G544" s="5">
        <v>0.39999999999999997</v>
      </c>
      <c r="H544" s="103">
        <f t="shared" si="60"/>
        <v>5.2910399999999997</v>
      </c>
      <c r="I544" s="68">
        <v>2.4</v>
      </c>
      <c r="J544" s="63"/>
      <c r="K544" s="122">
        <f t="shared" si="62"/>
        <v>2529.2357376000004</v>
      </c>
      <c r="O544" s="112">
        <v>2817.7760000000003</v>
      </c>
    </row>
    <row r="545" spans="1:15">
      <c r="A545" s="63" t="s">
        <v>380</v>
      </c>
      <c r="B545" s="63" t="s">
        <v>22</v>
      </c>
      <c r="C545" s="112">
        <v>502.50096000000002</v>
      </c>
      <c r="D545" s="125">
        <v>0.02</v>
      </c>
      <c r="E545" s="124">
        <v>0.04</v>
      </c>
      <c r="F545" s="119">
        <f t="shared" si="61"/>
        <v>301.50057600000002</v>
      </c>
      <c r="G545" s="5">
        <v>0.4</v>
      </c>
      <c r="H545" s="103">
        <f t="shared" si="60"/>
        <v>4.4092000000000002</v>
      </c>
      <c r="I545" s="68">
        <v>2</v>
      </c>
      <c r="J545" s="63"/>
      <c r="K545" s="122">
        <f t="shared" si="62"/>
        <v>442.20084480000003</v>
      </c>
      <c r="O545" s="112">
        <v>492.64800000000002</v>
      </c>
    </row>
    <row r="546" spans="1:15">
      <c r="A546" s="63" t="s">
        <v>381</v>
      </c>
      <c r="B546" s="63" t="s">
        <v>23</v>
      </c>
      <c r="C546" s="112">
        <v>502.50096000000002</v>
      </c>
      <c r="D546" s="125">
        <v>0.02</v>
      </c>
      <c r="E546" s="124">
        <v>0.04</v>
      </c>
      <c r="F546" s="119">
        <f t="shared" si="61"/>
        <v>301.50057600000002</v>
      </c>
      <c r="G546" s="5">
        <v>0.4</v>
      </c>
      <c r="H546" s="103">
        <f t="shared" si="60"/>
        <v>4.4092000000000002</v>
      </c>
      <c r="I546" s="68">
        <v>2</v>
      </c>
      <c r="J546" s="63"/>
      <c r="K546" s="122">
        <f t="shared" si="62"/>
        <v>442.20084480000003</v>
      </c>
      <c r="O546" s="112">
        <v>492.64800000000002</v>
      </c>
    </row>
    <row r="547" spans="1:15">
      <c r="A547" s="63" t="s">
        <v>382</v>
      </c>
      <c r="B547" s="63" t="s">
        <v>246</v>
      </c>
      <c r="C547" s="112">
        <v>491.46864000000005</v>
      </c>
      <c r="D547" s="125">
        <v>0.02</v>
      </c>
      <c r="E547" s="124">
        <v>0.04</v>
      </c>
      <c r="F547" s="119">
        <f t="shared" si="61"/>
        <v>294.88118400000002</v>
      </c>
      <c r="G547" s="5">
        <v>0.4</v>
      </c>
      <c r="H547" s="103">
        <f t="shared" si="60"/>
        <v>4.4092000000000002</v>
      </c>
      <c r="I547" s="68">
        <v>2</v>
      </c>
      <c r="J547" s="63"/>
      <c r="K547" s="122">
        <f t="shared" si="62"/>
        <v>432.49240320000007</v>
      </c>
      <c r="O547" s="112">
        <v>481.83200000000005</v>
      </c>
    </row>
    <row r="548" spans="1:15">
      <c r="A548" s="63" t="s">
        <v>384</v>
      </c>
      <c r="B548" s="63" t="s">
        <v>489</v>
      </c>
      <c r="C548" s="112">
        <v>502.50096000000002</v>
      </c>
      <c r="D548" s="125">
        <v>0.02</v>
      </c>
      <c r="E548" s="124">
        <v>0.04</v>
      </c>
      <c r="F548" s="119">
        <f t="shared" si="61"/>
        <v>301.50057600000002</v>
      </c>
      <c r="G548" s="5">
        <v>0.4</v>
      </c>
      <c r="H548" s="103">
        <f t="shared" si="60"/>
        <v>4.4092000000000002</v>
      </c>
      <c r="I548" s="68">
        <v>2</v>
      </c>
      <c r="J548" s="63"/>
      <c r="K548" s="122">
        <f t="shared" si="62"/>
        <v>442.20084480000003</v>
      </c>
      <c r="O548" s="112">
        <v>492.64800000000002</v>
      </c>
    </row>
    <row r="549" spans="1:15">
      <c r="A549" s="63" t="s">
        <v>385</v>
      </c>
      <c r="B549" s="63" t="s">
        <v>24</v>
      </c>
      <c r="C549" s="112">
        <v>502.50096000000002</v>
      </c>
      <c r="D549" s="125">
        <v>0.02</v>
      </c>
      <c r="E549" s="124">
        <v>0.04</v>
      </c>
      <c r="F549" s="119">
        <f t="shared" si="61"/>
        <v>301.50057600000002</v>
      </c>
      <c r="G549" s="5">
        <v>0.4</v>
      </c>
      <c r="H549" s="103">
        <f t="shared" si="60"/>
        <v>4.4092000000000002</v>
      </c>
      <c r="I549" s="68">
        <v>2</v>
      </c>
      <c r="J549" s="63"/>
      <c r="K549" s="122">
        <f t="shared" si="62"/>
        <v>442.20084480000003</v>
      </c>
      <c r="O549" s="112">
        <v>492.64800000000002</v>
      </c>
    </row>
    <row r="550" spans="1:15">
      <c r="A550" s="63" t="s">
        <v>386</v>
      </c>
      <c r="B550" s="63" t="s">
        <v>25</v>
      </c>
      <c r="C550" s="112">
        <v>502.50096000000002</v>
      </c>
      <c r="D550" s="125">
        <v>0.02</v>
      </c>
      <c r="E550" s="124">
        <v>0.04</v>
      </c>
      <c r="F550" s="119">
        <f t="shared" si="61"/>
        <v>301.50057600000002</v>
      </c>
      <c r="G550" s="5">
        <v>0.4</v>
      </c>
      <c r="H550" s="103">
        <f t="shared" si="60"/>
        <v>4.4092000000000002</v>
      </c>
      <c r="I550" s="68">
        <v>2</v>
      </c>
      <c r="J550" s="63"/>
      <c r="K550" s="122">
        <f t="shared" si="62"/>
        <v>442.20084480000003</v>
      </c>
      <c r="L550" s="123"/>
      <c r="O550" s="112">
        <v>492.64800000000002</v>
      </c>
    </row>
    <row r="551" spans="1:15">
      <c r="A551" s="63" t="s">
        <v>387</v>
      </c>
      <c r="B551" s="63" t="s">
        <v>291</v>
      </c>
      <c r="C551" s="112">
        <v>502.50096000000002</v>
      </c>
      <c r="D551" s="125">
        <v>0.02</v>
      </c>
      <c r="E551" s="124">
        <v>0.04</v>
      </c>
      <c r="F551" s="119">
        <f t="shared" si="61"/>
        <v>301.50057600000002</v>
      </c>
      <c r="G551" s="5">
        <v>0.4</v>
      </c>
      <c r="H551" s="103">
        <f t="shared" si="60"/>
        <v>4.4092000000000002</v>
      </c>
      <c r="I551" s="68">
        <v>2</v>
      </c>
      <c r="J551" s="63"/>
      <c r="K551" s="122">
        <f t="shared" si="62"/>
        <v>442.20084480000003</v>
      </c>
      <c r="O551" s="112">
        <v>492.64800000000002</v>
      </c>
    </row>
    <row r="552" spans="1:15">
      <c r="A552" s="63" t="s">
        <v>388</v>
      </c>
      <c r="B552" s="63" t="s">
        <v>201</v>
      </c>
      <c r="C552" s="112">
        <v>128.67504</v>
      </c>
      <c r="D552" s="125">
        <v>0.02</v>
      </c>
      <c r="E552" s="124">
        <v>0.04</v>
      </c>
      <c r="F552" s="119">
        <f t="shared" si="61"/>
        <v>77.205023999999995</v>
      </c>
      <c r="G552" s="5">
        <v>0.4</v>
      </c>
      <c r="H552" s="103">
        <f t="shared" si="60"/>
        <v>1.1023000000000001</v>
      </c>
      <c r="I552" s="68">
        <v>0.5</v>
      </c>
      <c r="J552" s="63"/>
      <c r="K552" s="122">
        <f t="shared" si="62"/>
        <v>113.23403519999999</v>
      </c>
      <c r="O552" s="112">
        <v>126.152</v>
      </c>
    </row>
    <row r="553" spans="1:15">
      <c r="A553" s="63"/>
      <c r="B553" s="63"/>
      <c r="C553" s="117"/>
      <c r="D553" s="126"/>
      <c r="E553" s="124"/>
      <c r="F553" s="119"/>
      <c r="G553" s="17"/>
      <c r="H553" s="74"/>
      <c r="I553" s="106"/>
      <c r="J553" s="16"/>
      <c r="K553" s="122"/>
      <c r="O553" s="117"/>
    </row>
    <row r="554" spans="1:15">
      <c r="A554" s="63"/>
      <c r="B554" s="63"/>
      <c r="C554" s="117"/>
      <c r="D554" s="126"/>
      <c r="E554" s="124"/>
      <c r="F554" s="119"/>
      <c r="G554" s="17"/>
      <c r="H554" s="74"/>
      <c r="I554" s="106"/>
      <c r="J554" s="16"/>
      <c r="K554" s="122"/>
      <c r="O554" s="117"/>
    </row>
    <row r="555" spans="1:15" ht="18.75">
      <c r="A555" s="79" t="s">
        <v>128</v>
      </c>
      <c r="B555" s="63"/>
      <c r="C555" s="117"/>
      <c r="D555" s="126"/>
      <c r="E555" s="124"/>
      <c r="F555" s="119"/>
      <c r="G555" s="17"/>
      <c r="H555" s="74"/>
      <c r="I555" s="106"/>
      <c r="J555" s="16"/>
      <c r="K555" s="122"/>
      <c r="O555" s="117"/>
    </row>
    <row r="556" spans="1:15">
      <c r="A556" s="64" t="s">
        <v>129</v>
      </c>
      <c r="B556" s="64" t="s">
        <v>188</v>
      </c>
      <c r="C556" s="65">
        <v>22423.012920000001</v>
      </c>
      <c r="D556" s="125">
        <v>0.02</v>
      </c>
      <c r="E556" s="124">
        <v>0.02</v>
      </c>
      <c r="F556" s="119">
        <f t="shared" ref="F556:F587" si="63">C556*(1-G556)</f>
        <v>13453.807752000002</v>
      </c>
      <c r="G556" s="9">
        <v>0.39999999999999997</v>
      </c>
      <c r="H556" s="72">
        <v>346</v>
      </c>
      <c r="I556" s="98">
        <v>157</v>
      </c>
      <c r="J556" s="16"/>
      <c r="K556" s="122">
        <f t="shared" ref="K556:K587" si="64">C556*0.88</f>
        <v>19732.251369600002</v>
      </c>
      <c r="O556" s="65">
        <v>21983.346000000001</v>
      </c>
    </row>
    <row r="557" spans="1:15">
      <c r="A557" s="64" t="s">
        <v>130</v>
      </c>
      <c r="B557" s="64" t="s">
        <v>189</v>
      </c>
      <c r="C557" s="65">
        <v>23738.286600000003</v>
      </c>
      <c r="D557" s="125">
        <v>0.02</v>
      </c>
      <c r="E557" s="124">
        <v>0.02</v>
      </c>
      <c r="F557" s="119">
        <f t="shared" si="63"/>
        <v>14242.971960000004</v>
      </c>
      <c r="G557" s="9">
        <v>0.39999999999999997</v>
      </c>
      <c r="H557" s="72">
        <v>419</v>
      </c>
      <c r="I557" s="98">
        <v>190</v>
      </c>
      <c r="J557" s="16"/>
      <c r="K557" s="122">
        <f t="shared" si="64"/>
        <v>20889.692208000004</v>
      </c>
      <c r="O557" s="65">
        <v>23272.83</v>
      </c>
    </row>
    <row r="558" spans="1:15">
      <c r="A558" s="63" t="s">
        <v>131</v>
      </c>
      <c r="B558" s="63" t="s">
        <v>163</v>
      </c>
      <c r="C558" s="65">
        <v>4581.4891200000002</v>
      </c>
      <c r="D558" s="125">
        <v>0.02</v>
      </c>
      <c r="E558" s="124">
        <v>0.04</v>
      </c>
      <c r="F558" s="119">
        <f t="shared" si="63"/>
        <v>2748.8934720000007</v>
      </c>
      <c r="G558" s="9">
        <v>0.39999999999999997</v>
      </c>
      <c r="H558" s="72">
        <v>15</v>
      </c>
      <c r="I558" s="98">
        <v>6.8</v>
      </c>
      <c r="J558" s="16"/>
      <c r="K558" s="122">
        <f t="shared" si="64"/>
        <v>4031.7104256000002</v>
      </c>
      <c r="O558" s="65">
        <v>4491.6559999999999</v>
      </c>
    </row>
    <row r="559" spans="1:15">
      <c r="A559" s="63" t="s">
        <v>402</v>
      </c>
      <c r="B559" s="66" t="s">
        <v>132</v>
      </c>
      <c r="C559" s="65">
        <v>2532.2356799999998</v>
      </c>
      <c r="D559" s="125">
        <v>0.02</v>
      </c>
      <c r="E559" s="124">
        <v>0.04</v>
      </c>
      <c r="F559" s="119">
        <f t="shared" si="63"/>
        <v>1519.341408</v>
      </c>
      <c r="G559" s="9">
        <v>0.39999999999999997</v>
      </c>
      <c r="H559" s="72">
        <v>7</v>
      </c>
      <c r="I559" s="98">
        <v>3</v>
      </c>
      <c r="J559" s="18"/>
      <c r="K559" s="122">
        <f t="shared" si="64"/>
        <v>2228.3673983999997</v>
      </c>
      <c r="O559" s="65">
        <v>2482.5839999999998</v>
      </c>
    </row>
    <row r="560" spans="1:15">
      <c r="A560" s="63" t="s">
        <v>235</v>
      </c>
      <c r="B560" s="66" t="s">
        <v>236</v>
      </c>
      <c r="C560" s="65">
        <v>8391.988800000001</v>
      </c>
      <c r="D560" s="125">
        <v>0.02</v>
      </c>
      <c r="E560" s="124">
        <v>0.04</v>
      </c>
      <c r="F560" s="119">
        <f t="shared" si="63"/>
        <v>5035.1932800000013</v>
      </c>
      <c r="G560" s="9">
        <v>0.39999999999999997</v>
      </c>
      <c r="H560" s="72">
        <v>20</v>
      </c>
      <c r="I560" s="98">
        <v>9</v>
      </c>
      <c r="J560" s="18"/>
      <c r="K560" s="122">
        <f t="shared" si="64"/>
        <v>7384.9501440000013</v>
      </c>
      <c r="O560" s="65">
        <v>8227.44</v>
      </c>
    </row>
    <row r="561" spans="1:15">
      <c r="A561" s="63" t="s">
        <v>369</v>
      </c>
      <c r="B561" s="63" t="s">
        <v>156</v>
      </c>
      <c r="C561" s="65">
        <v>252.47040000000001</v>
      </c>
      <c r="D561" s="125">
        <v>0.02</v>
      </c>
      <c r="E561" s="124">
        <v>0.04</v>
      </c>
      <c r="F561" s="119">
        <f t="shared" si="63"/>
        <v>151.48224000000002</v>
      </c>
      <c r="G561" s="9">
        <v>0.39999999999999997</v>
      </c>
      <c r="H561" s="72">
        <v>2</v>
      </c>
      <c r="I561" s="98">
        <v>1</v>
      </c>
      <c r="J561" s="63"/>
      <c r="K561" s="122">
        <f t="shared" si="64"/>
        <v>222.17395200000001</v>
      </c>
      <c r="O561" s="65">
        <v>247.52</v>
      </c>
    </row>
    <row r="562" spans="1:15">
      <c r="A562" s="63" t="s">
        <v>403</v>
      </c>
      <c r="B562" s="66" t="s">
        <v>133</v>
      </c>
      <c r="C562" s="65">
        <v>989.08992000000001</v>
      </c>
      <c r="D562" s="125">
        <v>0.02</v>
      </c>
      <c r="E562" s="124">
        <v>0.04</v>
      </c>
      <c r="F562" s="119">
        <f t="shared" si="63"/>
        <v>593.45395200000007</v>
      </c>
      <c r="G562" s="9">
        <v>0.39999999999999997</v>
      </c>
      <c r="H562" s="72">
        <v>5</v>
      </c>
      <c r="I562" s="98">
        <v>2.4</v>
      </c>
      <c r="J562" s="7"/>
      <c r="K562" s="122">
        <f t="shared" si="64"/>
        <v>870.39912960000004</v>
      </c>
      <c r="O562" s="65">
        <v>969.69600000000003</v>
      </c>
    </row>
    <row r="563" spans="1:15">
      <c r="A563" s="63" t="s">
        <v>404</v>
      </c>
      <c r="B563" s="66" t="s">
        <v>532</v>
      </c>
      <c r="C563" s="65">
        <v>569.96783999999991</v>
      </c>
      <c r="D563" s="125">
        <v>0.02</v>
      </c>
      <c r="E563" s="124">
        <v>0.04</v>
      </c>
      <c r="F563" s="119">
        <f t="shared" si="63"/>
        <v>341.980704</v>
      </c>
      <c r="G563" s="9">
        <v>0.39999999999999997</v>
      </c>
      <c r="H563" s="72">
        <v>5</v>
      </c>
      <c r="I563" s="98">
        <v>2.4</v>
      </c>
      <c r="J563" s="7"/>
      <c r="K563" s="122">
        <f t="shared" si="64"/>
        <v>501.5716991999999</v>
      </c>
      <c r="O563" s="65">
        <v>558.79199999999992</v>
      </c>
    </row>
    <row r="564" spans="1:15">
      <c r="A564" s="63" t="s">
        <v>526</v>
      </c>
      <c r="B564" s="63" t="s">
        <v>527</v>
      </c>
      <c r="C564" s="112">
        <v>243.78</v>
      </c>
      <c r="D564" s="125">
        <v>0.02</v>
      </c>
      <c r="E564" s="124">
        <v>0</v>
      </c>
      <c r="F564" s="119">
        <f t="shared" si="63"/>
        <v>146.268</v>
      </c>
      <c r="G564" s="5">
        <v>0.4</v>
      </c>
      <c r="H564" s="4">
        <v>10</v>
      </c>
      <c r="I564" s="98">
        <v>5</v>
      </c>
      <c r="J564" s="63"/>
      <c r="K564" s="122">
        <f t="shared" si="64"/>
        <v>214.5264</v>
      </c>
      <c r="O564" s="112">
        <v>239</v>
      </c>
    </row>
    <row r="565" spans="1:15">
      <c r="A565" s="67" t="s">
        <v>405</v>
      </c>
      <c r="B565" s="66" t="s">
        <v>134</v>
      </c>
      <c r="C565" s="65">
        <v>989.08992000000001</v>
      </c>
      <c r="D565" s="125">
        <v>0.02</v>
      </c>
      <c r="E565" s="124">
        <v>0.04</v>
      </c>
      <c r="F565" s="119">
        <f t="shared" si="63"/>
        <v>593.45395199999996</v>
      </c>
      <c r="G565" s="76">
        <v>0.4</v>
      </c>
      <c r="H565" s="72">
        <v>5</v>
      </c>
      <c r="I565" s="98">
        <v>2.4</v>
      </c>
      <c r="J565" s="75"/>
      <c r="K565" s="122">
        <f t="shared" si="64"/>
        <v>870.39912960000004</v>
      </c>
      <c r="O565" s="65">
        <v>969.69600000000003</v>
      </c>
    </row>
    <row r="566" spans="1:15">
      <c r="A566" s="67" t="s">
        <v>406</v>
      </c>
      <c r="B566" s="66" t="s">
        <v>135</v>
      </c>
      <c r="C566" s="65">
        <v>989.08992000000001</v>
      </c>
      <c r="D566" s="125">
        <v>0.02</v>
      </c>
      <c r="E566" s="124">
        <v>0.04</v>
      </c>
      <c r="F566" s="119">
        <f t="shared" si="63"/>
        <v>593.45395199999996</v>
      </c>
      <c r="G566" s="76">
        <v>0.4</v>
      </c>
      <c r="H566" s="72">
        <v>5</v>
      </c>
      <c r="I566" s="98">
        <v>2.4</v>
      </c>
      <c r="J566" s="75"/>
      <c r="K566" s="122">
        <f t="shared" si="64"/>
        <v>870.39912960000004</v>
      </c>
      <c r="O566" s="65">
        <v>969.69600000000003</v>
      </c>
    </row>
    <row r="567" spans="1:15">
      <c r="A567" s="63" t="s">
        <v>522</v>
      </c>
      <c r="B567" s="63" t="s">
        <v>523</v>
      </c>
      <c r="C567" s="112">
        <v>236.64000000000001</v>
      </c>
      <c r="D567" s="125">
        <v>0.02</v>
      </c>
      <c r="E567" s="124">
        <v>0</v>
      </c>
      <c r="F567" s="119">
        <f t="shared" si="63"/>
        <v>141.98400000000001</v>
      </c>
      <c r="G567" s="5">
        <v>0.4</v>
      </c>
      <c r="H567" s="4">
        <v>10</v>
      </c>
      <c r="I567" s="98">
        <v>5</v>
      </c>
      <c r="J567" s="63"/>
      <c r="K567" s="122">
        <f t="shared" si="64"/>
        <v>208.2432</v>
      </c>
      <c r="O567" s="112">
        <v>232</v>
      </c>
    </row>
    <row r="568" spans="1:15">
      <c r="A568" s="63" t="s">
        <v>524</v>
      </c>
      <c r="B568" s="63" t="s">
        <v>525</v>
      </c>
      <c r="C568" s="112">
        <v>198.9</v>
      </c>
      <c r="D568" s="125">
        <v>0.02</v>
      </c>
      <c r="E568" s="124">
        <v>0</v>
      </c>
      <c r="F568" s="119">
        <f t="shared" si="63"/>
        <v>119.34</v>
      </c>
      <c r="G568" s="5">
        <v>0.4</v>
      </c>
      <c r="H568" s="4">
        <v>10</v>
      </c>
      <c r="I568" s="98">
        <v>5</v>
      </c>
      <c r="J568" s="63"/>
      <c r="K568" s="122">
        <f t="shared" si="64"/>
        <v>175.03200000000001</v>
      </c>
      <c r="O568" s="112">
        <v>195</v>
      </c>
    </row>
    <row r="569" spans="1:15">
      <c r="A569" s="80" t="s">
        <v>407</v>
      </c>
      <c r="B569" s="66" t="s">
        <v>136</v>
      </c>
      <c r="C569" s="65">
        <v>989.08992000000001</v>
      </c>
      <c r="D569" s="125">
        <v>0.02</v>
      </c>
      <c r="E569" s="124">
        <v>0.04</v>
      </c>
      <c r="F569" s="119">
        <f t="shared" si="63"/>
        <v>593.45395199999996</v>
      </c>
      <c r="G569" s="11">
        <v>0.4</v>
      </c>
      <c r="H569" s="72">
        <v>5</v>
      </c>
      <c r="I569" s="98">
        <v>2.4</v>
      </c>
      <c r="J569" s="19"/>
      <c r="K569" s="122">
        <f t="shared" si="64"/>
        <v>870.39912960000004</v>
      </c>
      <c r="O569" s="65">
        <v>969.69600000000003</v>
      </c>
    </row>
    <row r="570" spans="1:15">
      <c r="A570" s="66" t="s">
        <v>408</v>
      </c>
      <c r="B570" s="66" t="s">
        <v>137</v>
      </c>
      <c r="C570" s="65">
        <v>989.08992000000001</v>
      </c>
      <c r="D570" s="125">
        <v>0.02</v>
      </c>
      <c r="E570" s="124">
        <v>0.04</v>
      </c>
      <c r="F570" s="119">
        <f t="shared" si="63"/>
        <v>593.45395199999996</v>
      </c>
      <c r="G570" s="76">
        <v>0.4</v>
      </c>
      <c r="H570" s="72">
        <v>5</v>
      </c>
      <c r="I570" s="98">
        <v>2.4</v>
      </c>
      <c r="J570" s="16"/>
      <c r="K570" s="122">
        <f t="shared" si="64"/>
        <v>870.39912960000004</v>
      </c>
      <c r="O570" s="65">
        <v>969.69600000000003</v>
      </c>
    </row>
    <row r="571" spans="1:15">
      <c r="A571" s="66" t="s">
        <v>409</v>
      </c>
      <c r="B571" s="66" t="s">
        <v>138</v>
      </c>
      <c r="C571" s="65">
        <v>989.08992000000001</v>
      </c>
      <c r="D571" s="125">
        <v>0.02</v>
      </c>
      <c r="E571" s="124">
        <v>0.04</v>
      </c>
      <c r="F571" s="119">
        <f t="shared" si="63"/>
        <v>593.45395199999996</v>
      </c>
      <c r="G571" s="76">
        <v>0.4</v>
      </c>
      <c r="H571" s="72">
        <v>5</v>
      </c>
      <c r="I571" s="98">
        <v>2.4</v>
      </c>
      <c r="J571" s="16"/>
      <c r="K571" s="122">
        <f t="shared" si="64"/>
        <v>870.39912960000004</v>
      </c>
      <c r="O571" s="65">
        <v>969.69600000000003</v>
      </c>
    </row>
    <row r="572" spans="1:15">
      <c r="A572" s="66" t="s">
        <v>410</v>
      </c>
      <c r="B572" s="66" t="s">
        <v>139</v>
      </c>
      <c r="C572" s="65">
        <v>989.08992000000001</v>
      </c>
      <c r="D572" s="125">
        <v>0.02</v>
      </c>
      <c r="E572" s="124">
        <v>0.04</v>
      </c>
      <c r="F572" s="119">
        <f t="shared" si="63"/>
        <v>593.45395199999996</v>
      </c>
      <c r="G572" s="76">
        <v>0.4</v>
      </c>
      <c r="H572" s="72">
        <v>5</v>
      </c>
      <c r="I572" s="98">
        <v>2.4</v>
      </c>
      <c r="J572" s="75"/>
      <c r="K572" s="122">
        <f t="shared" si="64"/>
        <v>870.39912960000004</v>
      </c>
      <c r="O572" s="65">
        <v>969.69600000000003</v>
      </c>
    </row>
    <row r="573" spans="1:15">
      <c r="A573" s="66" t="s">
        <v>411</v>
      </c>
      <c r="B573" s="66" t="s">
        <v>140</v>
      </c>
      <c r="C573" s="65">
        <v>989.08992000000001</v>
      </c>
      <c r="D573" s="125">
        <v>0.02</v>
      </c>
      <c r="E573" s="124">
        <v>0.04</v>
      </c>
      <c r="F573" s="119">
        <f t="shared" si="63"/>
        <v>593.45395199999996</v>
      </c>
      <c r="G573" s="76">
        <v>0.4</v>
      </c>
      <c r="H573" s="72">
        <v>5</v>
      </c>
      <c r="I573" s="98">
        <v>2.4</v>
      </c>
      <c r="J573" s="75"/>
      <c r="K573" s="122">
        <f t="shared" si="64"/>
        <v>870.39912960000004</v>
      </c>
      <c r="O573" s="65">
        <v>969.69600000000003</v>
      </c>
    </row>
    <row r="574" spans="1:15">
      <c r="A574" s="66" t="s">
        <v>412</v>
      </c>
      <c r="B574" s="66" t="s">
        <v>559</v>
      </c>
      <c r="C574" s="65">
        <v>989.08992000000001</v>
      </c>
      <c r="D574" s="125">
        <v>0.02</v>
      </c>
      <c r="E574" s="124">
        <v>0.04</v>
      </c>
      <c r="F574" s="119">
        <f t="shared" si="63"/>
        <v>593.45395199999996</v>
      </c>
      <c r="G574" s="76">
        <v>0.4</v>
      </c>
      <c r="H574" s="72">
        <v>5</v>
      </c>
      <c r="I574" s="98">
        <v>2.4</v>
      </c>
      <c r="J574" s="75"/>
      <c r="K574" s="122">
        <f t="shared" si="64"/>
        <v>870.39912960000004</v>
      </c>
      <c r="O574" s="65">
        <v>969.69600000000003</v>
      </c>
    </row>
    <row r="575" spans="1:15">
      <c r="A575" s="66" t="s">
        <v>413</v>
      </c>
      <c r="B575" s="66" t="s">
        <v>141</v>
      </c>
      <c r="C575" s="65">
        <v>989.08992000000001</v>
      </c>
      <c r="D575" s="125">
        <v>0.02</v>
      </c>
      <c r="E575" s="124">
        <v>0.04</v>
      </c>
      <c r="F575" s="119">
        <f t="shared" si="63"/>
        <v>593.45395199999996</v>
      </c>
      <c r="G575" s="76">
        <v>0.4</v>
      </c>
      <c r="H575" s="72">
        <v>5</v>
      </c>
      <c r="I575" s="98">
        <v>2.4</v>
      </c>
      <c r="J575" s="75"/>
      <c r="K575" s="122">
        <f t="shared" si="64"/>
        <v>870.39912960000004</v>
      </c>
      <c r="O575" s="65">
        <v>969.69600000000003</v>
      </c>
    </row>
    <row r="576" spans="1:15">
      <c r="A576" s="66" t="s">
        <v>414</v>
      </c>
      <c r="B576" s="66" t="s">
        <v>210</v>
      </c>
      <c r="C576" s="65">
        <v>556.49568000000011</v>
      </c>
      <c r="D576" s="125">
        <v>0.02</v>
      </c>
      <c r="E576" s="124">
        <v>0.04</v>
      </c>
      <c r="F576" s="119">
        <f t="shared" si="63"/>
        <v>333.89740800000004</v>
      </c>
      <c r="G576" s="76">
        <v>0.4</v>
      </c>
      <c r="H576" s="72">
        <v>2</v>
      </c>
      <c r="I576" s="98">
        <v>1</v>
      </c>
      <c r="J576" s="75"/>
      <c r="K576" s="122">
        <f t="shared" si="64"/>
        <v>489.71619840000011</v>
      </c>
      <c r="O576" s="65">
        <v>545.58400000000006</v>
      </c>
    </row>
    <row r="577" spans="1:15">
      <c r="A577" s="66" t="s">
        <v>415</v>
      </c>
      <c r="B577" s="66" t="s">
        <v>142</v>
      </c>
      <c r="C577" s="65">
        <v>1633.7380800000001</v>
      </c>
      <c r="D577" s="125">
        <v>0.02</v>
      </c>
      <c r="E577" s="124">
        <v>0.04</v>
      </c>
      <c r="F577" s="119">
        <f t="shared" si="63"/>
        <v>980.24284799999987</v>
      </c>
      <c r="G577" s="76">
        <v>0.40000000000000008</v>
      </c>
      <c r="H577" s="72">
        <v>7</v>
      </c>
      <c r="I577" s="98">
        <v>3</v>
      </c>
      <c r="J577" s="75"/>
      <c r="K577" s="122">
        <f t="shared" si="64"/>
        <v>1437.6895104</v>
      </c>
      <c r="O577" s="65">
        <v>1601.704</v>
      </c>
    </row>
    <row r="578" spans="1:15">
      <c r="A578" s="66" t="s">
        <v>473</v>
      </c>
      <c r="B578" s="66" t="s">
        <v>474</v>
      </c>
      <c r="C578" s="65">
        <v>537.7195200000001</v>
      </c>
      <c r="D578" s="125">
        <v>0.02</v>
      </c>
      <c r="E578" s="124">
        <v>0.04</v>
      </c>
      <c r="F578" s="119">
        <f t="shared" si="63"/>
        <v>322.63171199999999</v>
      </c>
      <c r="G578" s="76">
        <v>0.40000000000000008</v>
      </c>
      <c r="H578" s="103">
        <f t="shared" ref="H578:H581" si="65">I578*2.2046</f>
        <v>4.4092000000000002</v>
      </c>
      <c r="I578" s="68">
        <v>2</v>
      </c>
      <c r="J578" s="75"/>
      <c r="K578" s="122">
        <f t="shared" si="64"/>
        <v>473.19317760000007</v>
      </c>
      <c r="O578" s="65">
        <v>527.17600000000004</v>
      </c>
    </row>
    <row r="579" spans="1:15">
      <c r="A579" s="63" t="s">
        <v>80</v>
      </c>
      <c r="B579" s="63" t="s">
        <v>26</v>
      </c>
      <c r="C579" s="112">
        <v>459.64464000000004</v>
      </c>
      <c r="D579" s="125">
        <v>0.02</v>
      </c>
      <c r="E579" s="124">
        <v>0.04</v>
      </c>
      <c r="F579" s="119">
        <f t="shared" si="63"/>
        <v>275.78678400000001</v>
      </c>
      <c r="G579" s="5">
        <v>0.4</v>
      </c>
      <c r="H579" s="103">
        <f t="shared" si="65"/>
        <v>4.4092000000000002</v>
      </c>
      <c r="I579" s="68">
        <v>2</v>
      </c>
      <c r="J579" s="63"/>
      <c r="K579" s="122">
        <f t="shared" si="64"/>
        <v>404.48728320000004</v>
      </c>
      <c r="O579" s="112">
        <v>450.63200000000001</v>
      </c>
    </row>
    <row r="580" spans="1:15">
      <c r="A580" s="63" t="s">
        <v>526</v>
      </c>
      <c r="B580" s="63" t="s">
        <v>527</v>
      </c>
      <c r="C580" s="112">
        <v>243.78</v>
      </c>
      <c r="D580" s="125">
        <v>0.02</v>
      </c>
      <c r="E580" s="124">
        <v>0</v>
      </c>
      <c r="F580" s="119">
        <f t="shared" si="63"/>
        <v>146.268</v>
      </c>
      <c r="G580" s="5">
        <v>0.4</v>
      </c>
      <c r="H580" s="4">
        <v>10</v>
      </c>
      <c r="I580" s="98">
        <v>5</v>
      </c>
      <c r="J580" s="63"/>
      <c r="K580" s="122">
        <f t="shared" si="64"/>
        <v>214.5264</v>
      </c>
      <c r="O580" s="112">
        <v>239</v>
      </c>
    </row>
    <row r="581" spans="1:15">
      <c r="A581" s="66" t="s">
        <v>476</v>
      </c>
      <c r="B581" s="66" t="s">
        <v>477</v>
      </c>
      <c r="C581" s="65">
        <v>537.7195200000001</v>
      </c>
      <c r="D581" s="125">
        <v>0.02</v>
      </c>
      <c r="E581" s="124">
        <v>0.04</v>
      </c>
      <c r="F581" s="119">
        <f t="shared" si="63"/>
        <v>322.63171199999999</v>
      </c>
      <c r="G581" s="76">
        <v>0.40000000000000008</v>
      </c>
      <c r="H581" s="103">
        <f t="shared" si="65"/>
        <v>4.4092000000000002</v>
      </c>
      <c r="I581" s="68">
        <v>2</v>
      </c>
      <c r="J581" s="75"/>
      <c r="K581" s="122">
        <f t="shared" si="64"/>
        <v>473.19317760000007</v>
      </c>
      <c r="O581" s="65">
        <v>527.17600000000004</v>
      </c>
    </row>
    <row r="582" spans="1:15">
      <c r="A582" s="63" t="s">
        <v>528</v>
      </c>
      <c r="B582" s="63" t="s">
        <v>529</v>
      </c>
      <c r="C582" s="112">
        <v>238.68</v>
      </c>
      <c r="D582" s="125">
        <v>0.02</v>
      </c>
      <c r="E582" s="124">
        <v>0</v>
      </c>
      <c r="F582" s="119">
        <f t="shared" si="63"/>
        <v>143.208</v>
      </c>
      <c r="G582" s="5">
        <v>0.4</v>
      </c>
      <c r="H582" s="4">
        <v>10</v>
      </c>
      <c r="I582" s="98">
        <v>5</v>
      </c>
      <c r="J582" s="63"/>
      <c r="K582" s="122">
        <f t="shared" si="64"/>
        <v>210.0384</v>
      </c>
      <c r="O582" s="112">
        <v>234</v>
      </c>
    </row>
    <row r="583" spans="1:15">
      <c r="A583" s="63" t="s">
        <v>79</v>
      </c>
      <c r="B583" s="63" t="s">
        <v>159</v>
      </c>
      <c r="C583" s="112">
        <v>538.03776000000005</v>
      </c>
      <c r="D583" s="125">
        <v>0.02</v>
      </c>
      <c r="E583" s="124">
        <v>0.04</v>
      </c>
      <c r="F583" s="119">
        <f t="shared" si="63"/>
        <v>322.82265599999999</v>
      </c>
      <c r="G583" s="5">
        <v>0.4</v>
      </c>
      <c r="H583" s="103">
        <f t="shared" ref="H583:H593" si="66">I583*2.2046</f>
        <v>4.4092000000000002</v>
      </c>
      <c r="I583" s="68">
        <v>2</v>
      </c>
      <c r="J583" s="63"/>
      <c r="K583" s="122">
        <f t="shared" si="64"/>
        <v>473.47322880000007</v>
      </c>
      <c r="O583" s="112">
        <v>527.48800000000006</v>
      </c>
    </row>
    <row r="584" spans="1:15">
      <c r="A584" s="63" t="s">
        <v>120</v>
      </c>
      <c r="B584" s="63" t="s">
        <v>121</v>
      </c>
      <c r="C584" s="112">
        <v>538.03776000000005</v>
      </c>
      <c r="D584" s="125">
        <v>0.02</v>
      </c>
      <c r="E584" s="124">
        <v>0.04</v>
      </c>
      <c r="F584" s="119">
        <f t="shared" si="63"/>
        <v>322.82265599999999</v>
      </c>
      <c r="G584" s="5">
        <v>0.4</v>
      </c>
      <c r="H584" s="103">
        <f t="shared" si="66"/>
        <v>4.4092000000000002</v>
      </c>
      <c r="I584" s="68">
        <v>2</v>
      </c>
      <c r="J584" s="63"/>
      <c r="K584" s="122">
        <f t="shared" si="64"/>
        <v>473.47322880000007</v>
      </c>
      <c r="O584" s="112">
        <v>527.48800000000006</v>
      </c>
    </row>
    <row r="585" spans="1:15">
      <c r="A585" s="63" t="s">
        <v>522</v>
      </c>
      <c r="B585" s="63" t="s">
        <v>523</v>
      </c>
      <c r="C585" s="112">
        <v>236.64000000000001</v>
      </c>
      <c r="D585" s="125">
        <v>0.02</v>
      </c>
      <c r="E585" s="124">
        <v>0</v>
      </c>
      <c r="F585" s="119">
        <f t="shared" si="63"/>
        <v>141.98400000000001</v>
      </c>
      <c r="G585" s="5">
        <v>0.4</v>
      </c>
      <c r="H585" s="4">
        <v>10</v>
      </c>
      <c r="I585" s="98">
        <v>5</v>
      </c>
      <c r="J585" s="63"/>
      <c r="K585" s="122">
        <f t="shared" si="64"/>
        <v>208.2432</v>
      </c>
      <c r="O585" s="112">
        <v>232</v>
      </c>
    </row>
    <row r="586" spans="1:15">
      <c r="A586" s="63" t="s">
        <v>524</v>
      </c>
      <c r="B586" s="63" t="s">
        <v>525</v>
      </c>
      <c r="C586" s="112">
        <v>198.9</v>
      </c>
      <c r="D586" s="125">
        <v>0.02</v>
      </c>
      <c r="E586" s="124">
        <v>0</v>
      </c>
      <c r="F586" s="119">
        <f t="shared" si="63"/>
        <v>119.34</v>
      </c>
      <c r="G586" s="5">
        <v>0.4</v>
      </c>
      <c r="H586" s="4">
        <v>10</v>
      </c>
      <c r="I586" s="98">
        <v>5</v>
      </c>
      <c r="J586" s="63"/>
      <c r="K586" s="122">
        <f t="shared" si="64"/>
        <v>175.03200000000001</v>
      </c>
      <c r="O586" s="112">
        <v>195</v>
      </c>
    </row>
    <row r="587" spans="1:15">
      <c r="A587" s="63" t="s">
        <v>478</v>
      </c>
      <c r="B587" s="63" t="s">
        <v>479</v>
      </c>
      <c r="C587" s="112">
        <v>459.64464000000004</v>
      </c>
      <c r="D587" s="125">
        <v>0.02</v>
      </c>
      <c r="E587" s="124">
        <v>0.04</v>
      </c>
      <c r="F587" s="119">
        <f t="shared" si="63"/>
        <v>275.78678400000001</v>
      </c>
      <c r="G587" s="5">
        <v>0.4</v>
      </c>
      <c r="H587" s="103">
        <f t="shared" si="66"/>
        <v>4.4092000000000002</v>
      </c>
      <c r="I587" s="68">
        <v>2</v>
      </c>
      <c r="J587" s="63"/>
      <c r="K587" s="122">
        <f t="shared" si="64"/>
        <v>404.48728320000004</v>
      </c>
      <c r="O587" s="112">
        <v>450.63200000000001</v>
      </c>
    </row>
    <row r="588" spans="1:15">
      <c r="A588" s="63" t="s">
        <v>480</v>
      </c>
      <c r="B588" s="63" t="s">
        <v>490</v>
      </c>
      <c r="C588" s="112">
        <v>459.64464000000004</v>
      </c>
      <c r="D588" s="125">
        <v>0.02</v>
      </c>
      <c r="E588" s="124">
        <v>0.04</v>
      </c>
      <c r="F588" s="119">
        <f t="shared" ref="F588:F619" si="67">C588*(1-G588)</f>
        <v>275.78678400000001</v>
      </c>
      <c r="G588" s="5">
        <v>0.4</v>
      </c>
      <c r="H588" s="103">
        <f t="shared" si="66"/>
        <v>4.4092000000000002</v>
      </c>
      <c r="I588" s="68">
        <v>2</v>
      </c>
      <c r="J588" s="63"/>
      <c r="K588" s="122">
        <f t="shared" ref="K588:K620" si="68">C588*0.88</f>
        <v>404.48728320000004</v>
      </c>
      <c r="O588" s="112">
        <v>450.63200000000001</v>
      </c>
    </row>
    <row r="589" spans="1:15">
      <c r="A589" s="63" t="s">
        <v>81</v>
      </c>
      <c r="B589" s="63" t="s">
        <v>207</v>
      </c>
      <c r="C589" s="112">
        <v>538.03776000000005</v>
      </c>
      <c r="D589" s="125">
        <v>0.02</v>
      </c>
      <c r="E589" s="124">
        <v>0.04</v>
      </c>
      <c r="F589" s="119">
        <f t="shared" si="67"/>
        <v>322.82265599999999</v>
      </c>
      <c r="G589" s="5">
        <v>0.4</v>
      </c>
      <c r="H589" s="103">
        <f t="shared" si="66"/>
        <v>4.4092000000000002</v>
      </c>
      <c r="I589" s="68">
        <v>2</v>
      </c>
      <c r="J589" s="63"/>
      <c r="K589" s="122">
        <f t="shared" si="68"/>
        <v>473.47322880000007</v>
      </c>
      <c r="O589" s="112">
        <v>527.48800000000006</v>
      </c>
    </row>
    <row r="590" spans="1:15">
      <c r="A590" s="63" t="s">
        <v>481</v>
      </c>
      <c r="B590" s="63" t="s">
        <v>482</v>
      </c>
      <c r="C590" s="112">
        <v>538.03776000000005</v>
      </c>
      <c r="D590" s="125">
        <v>0.02</v>
      </c>
      <c r="E590" s="124">
        <v>0.04</v>
      </c>
      <c r="F590" s="119">
        <f t="shared" si="67"/>
        <v>322.82265599999999</v>
      </c>
      <c r="G590" s="5">
        <v>0.4</v>
      </c>
      <c r="H590" s="103">
        <f t="shared" si="66"/>
        <v>4.4092000000000002</v>
      </c>
      <c r="I590" s="68">
        <v>2</v>
      </c>
      <c r="J590" s="63"/>
      <c r="K590" s="122">
        <f t="shared" si="68"/>
        <v>473.47322880000007</v>
      </c>
      <c r="O590" s="112">
        <v>527.48800000000006</v>
      </c>
    </row>
    <row r="591" spans="1:15">
      <c r="A591" s="66" t="s">
        <v>475</v>
      </c>
      <c r="B591" s="66" t="s">
        <v>491</v>
      </c>
      <c r="C591" s="65">
        <v>537.7195200000001</v>
      </c>
      <c r="D591" s="125">
        <v>0.02</v>
      </c>
      <c r="E591" s="124">
        <v>0.04</v>
      </c>
      <c r="F591" s="119">
        <f t="shared" si="67"/>
        <v>322.63171199999999</v>
      </c>
      <c r="G591" s="76">
        <v>0.40000000000000008</v>
      </c>
      <c r="H591" s="103">
        <f t="shared" si="66"/>
        <v>4.4092000000000002</v>
      </c>
      <c r="I591" s="68">
        <v>2</v>
      </c>
      <c r="J591" s="75"/>
      <c r="K591" s="122">
        <f t="shared" si="68"/>
        <v>473.19317760000007</v>
      </c>
      <c r="O591" s="65">
        <v>527.17600000000004</v>
      </c>
    </row>
    <row r="592" spans="1:15">
      <c r="A592" s="63" t="s">
        <v>82</v>
      </c>
      <c r="B592" s="63" t="s">
        <v>215</v>
      </c>
      <c r="C592" s="112">
        <v>538.03776000000005</v>
      </c>
      <c r="D592" s="125">
        <v>0.02</v>
      </c>
      <c r="E592" s="124">
        <v>0.04</v>
      </c>
      <c r="F592" s="119">
        <f t="shared" si="67"/>
        <v>322.82265599999999</v>
      </c>
      <c r="G592" s="5">
        <v>0.4</v>
      </c>
      <c r="H592" s="103">
        <f t="shared" si="66"/>
        <v>4.4092000000000002</v>
      </c>
      <c r="I592" s="68">
        <v>2</v>
      </c>
      <c r="J592" s="63"/>
      <c r="K592" s="122">
        <f t="shared" si="68"/>
        <v>473.47322880000007</v>
      </c>
      <c r="O592" s="112">
        <v>527.48800000000006</v>
      </c>
    </row>
    <row r="593" spans="1:15">
      <c r="A593" s="63" t="s">
        <v>83</v>
      </c>
      <c r="B593" s="63" t="s">
        <v>418</v>
      </c>
      <c r="C593" s="112">
        <v>459.64464000000004</v>
      </c>
      <c r="D593" s="125">
        <v>0.02</v>
      </c>
      <c r="E593" s="124">
        <v>0.04</v>
      </c>
      <c r="F593" s="119">
        <f t="shared" si="67"/>
        <v>275.78678400000001</v>
      </c>
      <c r="G593" s="5">
        <v>0.4</v>
      </c>
      <c r="H593" s="103">
        <f t="shared" si="66"/>
        <v>4.4092000000000002</v>
      </c>
      <c r="I593" s="68">
        <v>2</v>
      </c>
      <c r="J593" s="63"/>
      <c r="K593" s="122">
        <f t="shared" si="68"/>
        <v>404.48728320000004</v>
      </c>
      <c r="O593" s="112">
        <v>450.63200000000001</v>
      </c>
    </row>
    <row r="594" spans="1:15">
      <c r="A594" s="66" t="s">
        <v>143</v>
      </c>
      <c r="B594" s="66" t="s">
        <v>510</v>
      </c>
      <c r="C594" s="65">
        <v>3232.0454400000003</v>
      </c>
      <c r="D594" s="125">
        <v>0.02</v>
      </c>
      <c r="E594" s="124">
        <v>0.04</v>
      </c>
      <c r="F594" s="119">
        <f t="shared" si="67"/>
        <v>1939.2272640000001</v>
      </c>
      <c r="G594" s="76">
        <v>0.4</v>
      </c>
      <c r="H594" s="72">
        <v>7</v>
      </c>
      <c r="I594" s="98">
        <v>3</v>
      </c>
      <c r="J594" s="16"/>
      <c r="K594" s="122">
        <f t="shared" si="68"/>
        <v>2844.1999872000001</v>
      </c>
      <c r="O594" s="65">
        <v>3168.6720000000005</v>
      </c>
    </row>
    <row r="595" spans="1:15">
      <c r="A595" s="66" t="s">
        <v>258</v>
      </c>
      <c r="B595" s="66" t="s">
        <v>508</v>
      </c>
      <c r="C595" s="65">
        <v>368.94624000000005</v>
      </c>
      <c r="D595" s="125">
        <v>0.02</v>
      </c>
      <c r="E595" s="124">
        <v>0.04</v>
      </c>
      <c r="F595" s="119">
        <f t="shared" si="67"/>
        <v>221.36774400000002</v>
      </c>
      <c r="G595" s="76">
        <v>0.4</v>
      </c>
      <c r="H595" s="107">
        <f t="shared" ref="H595" si="69">I595*2.2046</f>
        <v>2.2046000000000001</v>
      </c>
      <c r="I595" s="99">
        <v>1</v>
      </c>
      <c r="J595" s="16"/>
      <c r="K595" s="122">
        <f t="shared" si="68"/>
        <v>324.67269120000003</v>
      </c>
      <c r="O595" s="65">
        <v>361.71200000000005</v>
      </c>
    </row>
    <row r="596" spans="1:15">
      <c r="A596" s="66" t="s">
        <v>144</v>
      </c>
      <c r="B596" s="63" t="s">
        <v>145</v>
      </c>
      <c r="C596" s="65">
        <v>3620.6164800000001</v>
      </c>
      <c r="D596" s="125">
        <v>0.02</v>
      </c>
      <c r="E596" s="124">
        <v>0.04</v>
      </c>
      <c r="F596" s="119">
        <f t="shared" si="67"/>
        <v>2172.3698880000002</v>
      </c>
      <c r="G596" s="76">
        <v>0.4</v>
      </c>
      <c r="H596" s="72">
        <v>7</v>
      </c>
      <c r="I596" s="98">
        <v>3</v>
      </c>
      <c r="J596" s="16"/>
      <c r="K596" s="122">
        <f t="shared" si="68"/>
        <v>3186.1425024</v>
      </c>
      <c r="O596" s="65">
        <v>3549.6240000000003</v>
      </c>
    </row>
    <row r="597" spans="1:15">
      <c r="A597" s="66" t="s">
        <v>259</v>
      </c>
      <c r="B597" s="67" t="s">
        <v>509</v>
      </c>
      <c r="C597" s="65">
        <v>368.94624000000005</v>
      </c>
      <c r="D597" s="125">
        <v>0.02</v>
      </c>
      <c r="E597" s="124">
        <v>0.04</v>
      </c>
      <c r="F597" s="119">
        <f t="shared" si="67"/>
        <v>221.36774400000002</v>
      </c>
      <c r="G597" s="76">
        <v>0.4</v>
      </c>
      <c r="H597" s="107">
        <f t="shared" ref="H597:H615" si="70">I597*2.2046</f>
        <v>2.2046000000000001</v>
      </c>
      <c r="I597" s="99">
        <v>1</v>
      </c>
      <c r="J597" s="16"/>
      <c r="K597" s="122">
        <f t="shared" si="68"/>
        <v>324.67269120000003</v>
      </c>
      <c r="O597" s="65">
        <v>361.71200000000005</v>
      </c>
    </row>
    <row r="598" spans="1:15">
      <c r="A598" s="81" t="s">
        <v>84</v>
      </c>
      <c r="B598" s="81" t="s">
        <v>209</v>
      </c>
      <c r="C598" s="65">
        <v>5150.0820000000003</v>
      </c>
      <c r="D598" s="125">
        <v>0.02</v>
      </c>
      <c r="E598" s="124">
        <v>0</v>
      </c>
      <c r="F598" s="119">
        <f t="shared" si="67"/>
        <v>3090.0491999999999</v>
      </c>
      <c r="G598" s="76">
        <v>0.4</v>
      </c>
      <c r="H598" s="107">
        <f t="shared" si="70"/>
        <v>8.8184000000000005</v>
      </c>
      <c r="I598" s="99">
        <v>4</v>
      </c>
      <c r="J598" s="16"/>
      <c r="K598" s="122">
        <f t="shared" si="68"/>
        <v>4532.0721600000006</v>
      </c>
      <c r="O598" s="65">
        <v>5049.1000000000004</v>
      </c>
    </row>
    <row r="599" spans="1:15">
      <c r="A599" s="63" t="s">
        <v>149</v>
      </c>
      <c r="B599" s="63" t="s">
        <v>150</v>
      </c>
      <c r="C599" s="65">
        <v>306.46511999999996</v>
      </c>
      <c r="D599" s="125">
        <v>0.02</v>
      </c>
      <c r="E599" s="124">
        <v>0.04</v>
      </c>
      <c r="F599" s="119">
        <f t="shared" si="67"/>
        <v>183.87907199999998</v>
      </c>
      <c r="G599" s="76">
        <v>0.4</v>
      </c>
      <c r="H599" s="107">
        <f t="shared" si="70"/>
        <v>1.1023000000000001</v>
      </c>
      <c r="I599" s="98">
        <v>0.5</v>
      </c>
      <c r="J599" s="63"/>
      <c r="K599" s="122">
        <f t="shared" si="68"/>
        <v>269.68930559999995</v>
      </c>
      <c r="O599" s="65">
        <v>300.45599999999996</v>
      </c>
    </row>
    <row r="600" spans="1:15">
      <c r="A600" s="63" t="s">
        <v>151</v>
      </c>
      <c r="B600" s="63" t="s">
        <v>152</v>
      </c>
      <c r="C600" s="65">
        <v>306.46511999999996</v>
      </c>
      <c r="D600" s="125">
        <v>0.02</v>
      </c>
      <c r="E600" s="124">
        <v>0.04</v>
      </c>
      <c r="F600" s="119">
        <f t="shared" si="67"/>
        <v>183.87907199999998</v>
      </c>
      <c r="G600" s="76">
        <v>0.4</v>
      </c>
      <c r="H600" s="107">
        <f t="shared" si="70"/>
        <v>1.1023000000000001</v>
      </c>
      <c r="I600" s="98">
        <v>0.5</v>
      </c>
      <c r="J600" s="63"/>
      <c r="K600" s="122">
        <f t="shared" si="68"/>
        <v>269.68930559999995</v>
      </c>
      <c r="O600" s="65">
        <v>300.45599999999996</v>
      </c>
    </row>
    <row r="601" spans="1:15">
      <c r="A601" s="63" t="s">
        <v>528</v>
      </c>
      <c r="B601" s="63" t="s">
        <v>529</v>
      </c>
      <c r="C601" s="112">
        <v>238.68</v>
      </c>
      <c r="D601" s="125">
        <v>0.02</v>
      </c>
      <c r="E601" s="124">
        <v>0</v>
      </c>
      <c r="F601" s="119">
        <f t="shared" si="67"/>
        <v>143.208</v>
      </c>
      <c r="G601" s="5">
        <v>0.4</v>
      </c>
      <c r="H601" s="4">
        <v>10</v>
      </c>
      <c r="I601" s="98">
        <v>5</v>
      </c>
      <c r="J601" s="63"/>
      <c r="K601" s="122">
        <f t="shared" si="68"/>
        <v>210.0384</v>
      </c>
      <c r="O601" s="112">
        <v>234</v>
      </c>
    </row>
    <row r="602" spans="1:15">
      <c r="A602" s="63" t="s">
        <v>530</v>
      </c>
      <c r="B602" s="63" t="s">
        <v>531</v>
      </c>
      <c r="C602" s="112">
        <v>306.46511999999996</v>
      </c>
      <c r="D602" s="125">
        <v>0.02</v>
      </c>
      <c r="E602" s="124">
        <v>0.04</v>
      </c>
      <c r="F602" s="119">
        <f t="shared" si="67"/>
        <v>183.87907199999998</v>
      </c>
      <c r="G602" s="5">
        <v>0.4</v>
      </c>
      <c r="H602" s="4">
        <f t="shared" si="70"/>
        <v>1.1023000000000001</v>
      </c>
      <c r="I602" s="98">
        <v>0.5</v>
      </c>
      <c r="J602" s="63"/>
      <c r="K602" s="122">
        <f t="shared" si="68"/>
        <v>269.68930559999995</v>
      </c>
      <c r="O602" s="112">
        <v>300.45599999999996</v>
      </c>
    </row>
    <row r="603" spans="1:15">
      <c r="A603" s="63" t="s">
        <v>522</v>
      </c>
      <c r="B603" s="63" t="s">
        <v>523</v>
      </c>
      <c r="C603" s="112">
        <v>236.64000000000001</v>
      </c>
      <c r="D603" s="125">
        <v>0.02</v>
      </c>
      <c r="E603" s="124">
        <v>0</v>
      </c>
      <c r="F603" s="119">
        <f t="shared" si="67"/>
        <v>141.98400000000001</v>
      </c>
      <c r="G603" s="5">
        <v>0.4</v>
      </c>
      <c r="H603" s="4">
        <v>10</v>
      </c>
      <c r="I603" s="98">
        <v>5</v>
      </c>
      <c r="J603" s="63"/>
      <c r="K603" s="122">
        <f t="shared" si="68"/>
        <v>208.2432</v>
      </c>
      <c r="O603" s="112">
        <v>232</v>
      </c>
    </row>
    <row r="604" spans="1:15">
      <c r="A604" s="63" t="s">
        <v>524</v>
      </c>
      <c r="B604" s="63" t="s">
        <v>525</v>
      </c>
      <c r="C604" s="112">
        <v>198.9</v>
      </c>
      <c r="D604" s="125">
        <v>0.02</v>
      </c>
      <c r="E604" s="124">
        <v>0</v>
      </c>
      <c r="F604" s="119">
        <f t="shared" si="67"/>
        <v>119.34</v>
      </c>
      <c r="G604" s="5">
        <v>0.4</v>
      </c>
      <c r="H604" s="4">
        <v>10</v>
      </c>
      <c r="I604" s="98">
        <v>5</v>
      </c>
      <c r="J604" s="63"/>
      <c r="K604" s="122">
        <f t="shared" si="68"/>
        <v>175.03200000000001</v>
      </c>
      <c r="O604" s="112">
        <v>195</v>
      </c>
    </row>
    <row r="605" spans="1:15">
      <c r="A605" s="81" t="s">
        <v>87</v>
      </c>
      <c r="B605" s="81" t="s">
        <v>85</v>
      </c>
      <c r="C605" s="65">
        <v>306.46511999999996</v>
      </c>
      <c r="D605" s="125">
        <v>0.02</v>
      </c>
      <c r="E605" s="124">
        <v>0.04</v>
      </c>
      <c r="F605" s="119">
        <f t="shared" si="67"/>
        <v>183.87907199999998</v>
      </c>
      <c r="G605" s="76">
        <v>0.4</v>
      </c>
      <c r="H605" s="107">
        <f t="shared" si="70"/>
        <v>1.1023000000000001</v>
      </c>
      <c r="I605" s="98">
        <v>0.5</v>
      </c>
      <c r="J605" s="16"/>
      <c r="K605" s="122">
        <f t="shared" si="68"/>
        <v>269.68930559999995</v>
      </c>
      <c r="O605" s="65">
        <v>300.45599999999996</v>
      </c>
    </row>
    <row r="606" spans="1:15">
      <c r="A606" s="81" t="s">
        <v>88</v>
      </c>
      <c r="B606" s="81" t="s">
        <v>86</v>
      </c>
      <c r="C606" s="65">
        <v>306.46511999999996</v>
      </c>
      <c r="D606" s="125">
        <v>0.02</v>
      </c>
      <c r="E606" s="124">
        <v>0.04</v>
      </c>
      <c r="F606" s="119">
        <f t="shared" si="67"/>
        <v>183.87907199999998</v>
      </c>
      <c r="G606" s="76">
        <v>0.4</v>
      </c>
      <c r="H606" s="107">
        <f t="shared" si="70"/>
        <v>1.1023000000000001</v>
      </c>
      <c r="I606" s="98">
        <v>0.5</v>
      </c>
      <c r="J606" s="16"/>
      <c r="K606" s="122">
        <f t="shared" si="68"/>
        <v>269.68930559999995</v>
      </c>
      <c r="O606" s="65">
        <v>300.45599999999996</v>
      </c>
    </row>
    <row r="607" spans="1:15">
      <c r="A607" s="81" t="s">
        <v>89</v>
      </c>
      <c r="B607" s="81" t="s">
        <v>216</v>
      </c>
      <c r="C607" s="65">
        <v>306.46511999999996</v>
      </c>
      <c r="D607" s="125">
        <v>0.02</v>
      </c>
      <c r="E607" s="124">
        <v>0.04</v>
      </c>
      <c r="F607" s="119">
        <f t="shared" si="67"/>
        <v>183.87907199999998</v>
      </c>
      <c r="G607" s="76">
        <v>0.4</v>
      </c>
      <c r="H607" s="107">
        <f t="shared" si="70"/>
        <v>1.1023000000000001</v>
      </c>
      <c r="I607" s="98">
        <v>0.5</v>
      </c>
      <c r="J607" s="16"/>
      <c r="K607" s="122">
        <f t="shared" si="68"/>
        <v>269.68930559999995</v>
      </c>
      <c r="O607" s="65">
        <v>300.45599999999996</v>
      </c>
    </row>
    <row r="608" spans="1:15">
      <c r="A608" s="81" t="s">
        <v>72</v>
      </c>
      <c r="B608" s="81" t="s">
        <v>20</v>
      </c>
      <c r="C608" s="65">
        <v>5006.7638400000005</v>
      </c>
      <c r="D608" s="125">
        <v>0.02</v>
      </c>
      <c r="E608" s="124">
        <v>0.04</v>
      </c>
      <c r="F608" s="119">
        <f t="shared" si="67"/>
        <v>3004.0583040000001</v>
      </c>
      <c r="G608" s="76">
        <v>0.4</v>
      </c>
      <c r="H608" s="107">
        <f t="shared" si="70"/>
        <v>18.077719999999999</v>
      </c>
      <c r="I608" s="99">
        <v>8.1999999999999993</v>
      </c>
      <c r="J608" s="16"/>
      <c r="K608" s="122">
        <f t="shared" si="68"/>
        <v>4405.9521792000005</v>
      </c>
      <c r="O608" s="65">
        <v>4908.5920000000006</v>
      </c>
    </row>
    <row r="609" spans="1:15">
      <c r="A609" s="63" t="s">
        <v>520</v>
      </c>
      <c r="B609" s="63" t="s">
        <v>521</v>
      </c>
      <c r="C609" s="112">
        <v>258.62304</v>
      </c>
      <c r="D609" s="125">
        <v>0.02</v>
      </c>
      <c r="E609" s="124">
        <v>0.04</v>
      </c>
      <c r="F609" s="119">
        <f t="shared" si="67"/>
        <v>155.173824</v>
      </c>
      <c r="G609" s="5">
        <v>0.4</v>
      </c>
      <c r="H609" s="103">
        <f t="shared" si="70"/>
        <v>2.2046000000000001</v>
      </c>
      <c r="I609" s="105">
        <v>1</v>
      </c>
      <c r="J609" s="63"/>
      <c r="K609" s="122">
        <f t="shared" si="68"/>
        <v>227.5882752</v>
      </c>
      <c r="O609" s="112">
        <v>253.55200000000002</v>
      </c>
    </row>
    <row r="610" spans="1:15">
      <c r="A610" s="63" t="s">
        <v>522</v>
      </c>
      <c r="B610" s="63" t="s">
        <v>523</v>
      </c>
      <c r="C610" s="112">
        <v>236.64000000000001</v>
      </c>
      <c r="D610" s="125">
        <v>0.02</v>
      </c>
      <c r="E610" s="124">
        <v>0</v>
      </c>
      <c r="F610" s="119">
        <f t="shared" si="67"/>
        <v>141.98400000000001</v>
      </c>
      <c r="G610" s="5">
        <v>0.4</v>
      </c>
      <c r="H610" s="4">
        <v>10</v>
      </c>
      <c r="I610" s="98">
        <v>5</v>
      </c>
      <c r="J610" s="63"/>
      <c r="K610" s="122">
        <f t="shared" si="68"/>
        <v>208.2432</v>
      </c>
      <c r="O610" s="112">
        <v>232</v>
      </c>
    </row>
    <row r="611" spans="1:15">
      <c r="A611" s="63" t="s">
        <v>524</v>
      </c>
      <c r="B611" s="63" t="s">
        <v>525</v>
      </c>
      <c r="C611" s="112">
        <v>198.9</v>
      </c>
      <c r="D611" s="125">
        <v>0.02</v>
      </c>
      <c r="E611" s="124">
        <v>0</v>
      </c>
      <c r="F611" s="119">
        <f t="shared" si="67"/>
        <v>119.34</v>
      </c>
      <c r="G611" s="5">
        <v>0.4</v>
      </c>
      <c r="H611" s="4">
        <v>10</v>
      </c>
      <c r="I611" s="98">
        <v>5</v>
      </c>
      <c r="J611" s="63"/>
      <c r="K611" s="122">
        <f t="shared" si="68"/>
        <v>175.03200000000001</v>
      </c>
      <c r="O611" s="112">
        <v>195</v>
      </c>
    </row>
    <row r="612" spans="1:15">
      <c r="A612" s="81" t="s">
        <v>394</v>
      </c>
      <c r="B612" s="81" t="s">
        <v>31</v>
      </c>
      <c r="C612" s="65">
        <v>258.62304</v>
      </c>
      <c r="D612" s="125">
        <v>0.02</v>
      </c>
      <c r="E612" s="124">
        <v>0.04</v>
      </c>
      <c r="F612" s="119">
        <f t="shared" si="67"/>
        <v>155.173824</v>
      </c>
      <c r="G612" s="76">
        <v>0.4</v>
      </c>
      <c r="H612" s="107">
        <f t="shared" si="70"/>
        <v>2.2046000000000001</v>
      </c>
      <c r="I612" s="99">
        <v>1</v>
      </c>
      <c r="J612" s="16"/>
      <c r="K612" s="122">
        <f t="shared" si="68"/>
        <v>227.5882752</v>
      </c>
      <c r="O612" s="65">
        <v>253.55200000000002</v>
      </c>
    </row>
    <row r="613" spans="1:15">
      <c r="A613" s="81" t="s">
        <v>395</v>
      </c>
      <c r="B613" s="81" t="s">
        <v>32</v>
      </c>
      <c r="C613" s="65">
        <v>258.62304</v>
      </c>
      <c r="D613" s="125">
        <v>0.02</v>
      </c>
      <c r="E613" s="124">
        <v>0.04</v>
      </c>
      <c r="F613" s="119">
        <f t="shared" si="67"/>
        <v>155.173824</v>
      </c>
      <c r="G613" s="76">
        <v>0.4</v>
      </c>
      <c r="H613" s="107">
        <f t="shared" si="70"/>
        <v>2.2046000000000001</v>
      </c>
      <c r="I613" s="99">
        <v>1</v>
      </c>
      <c r="J613" s="16"/>
      <c r="K613" s="122">
        <f t="shared" si="68"/>
        <v>227.5882752</v>
      </c>
      <c r="O613" s="65">
        <v>253.55200000000002</v>
      </c>
    </row>
    <row r="614" spans="1:15">
      <c r="A614" s="81" t="s">
        <v>396</v>
      </c>
      <c r="B614" s="81" t="s">
        <v>33</v>
      </c>
      <c r="C614" s="65">
        <v>258.62304</v>
      </c>
      <c r="D614" s="125">
        <v>0.02</v>
      </c>
      <c r="E614" s="124">
        <v>0.04</v>
      </c>
      <c r="F614" s="119">
        <f t="shared" si="67"/>
        <v>155.173824</v>
      </c>
      <c r="G614" s="76">
        <v>0.4</v>
      </c>
      <c r="H614" s="107">
        <f t="shared" si="70"/>
        <v>2.2046000000000001</v>
      </c>
      <c r="I614" s="99">
        <v>1</v>
      </c>
      <c r="J614" s="16"/>
      <c r="K614" s="122">
        <f t="shared" si="68"/>
        <v>227.5882752</v>
      </c>
      <c r="O614" s="65">
        <v>253.55200000000002</v>
      </c>
    </row>
    <row r="615" spans="1:15">
      <c r="A615" s="66" t="s">
        <v>62</v>
      </c>
      <c r="B615" s="66" t="s">
        <v>98</v>
      </c>
      <c r="C615" s="65">
        <v>2526.08304</v>
      </c>
      <c r="D615" s="125">
        <v>0.02</v>
      </c>
      <c r="E615" s="124">
        <v>0.04</v>
      </c>
      <c r="F615" s="119">
        <f t="shared" si="67"/>
        <v>1515.6498239999999</v>
      </c>
      <c r="G615" s="76">
        <v>0.4</v>
      </c>
      <c r="H615" s="107">
        <f t="shared" si="70"/>
        <v>7.9365600000000009</v>
      </c>
      <c r="I615" s="98">
        <v>3.6</v>
      </c>
      <c r="J615" s="16"/>
      <c r="K615" s="122">
        <f t="shared" si="68"/>
        <v>2222.9530752000001</v>
      </c>
      <c r="O615" s="65">
        <v>2476.5520000000001</v>
      </c>
    </row>
    <row r="616" spans="1:15">
      <c r="A616" s="63" t="s">
        <v>376</v>
      </c>
      <c r="B616" s="63" t="s">
        <v>118</v>
      </c>
      <c r="C616" s="65">
        <v>188.71632000000002</v>
      </c>
      <c r="D616" s="125">
        <v>0.02</v>
      </c>
      <c r="E616" s="124">
        <v>0.04</v>
      </c>
      <c r="F616" s="119">
        <f t="shared" si="67"/>
        <v>113.22979199999999</v>
      </c>
      <c r="G616" s="76">
        <v>0.40000000000000008</v>
      </c>
      <c r="H616" s="107">
        <f>I616*2.2046</f>
        <v>1.1023000000000001</v>
      </c>
      <c r="I616" s="98">
        <v>0.5</v>
      </c>
      <c r="J616" s="16"/>
      <c r="K616" s="122">
        <f t="shared" si="68"/>
        <v>166.07036160000001</v>
      </c>
      <c r="O616" s="65">
        <v>185.01600000000002</v>
      </c>
    </row>
    <row r="617" spans="1:15">
      <c r="A617" s="63" t="s">
        <v>377</v>
      </c>
      <c r="B617" s="63" t="s">
        <v>313</v>
      </c>
      <c r="C617" s="65">
        <v>188.71632000000002</v>
      </c>
      <c r="D617" s="125">
        <v>0.02</v>
      </c>
      <c r="E617" s="124">
        <v>0.04</v>
      </c>
      <c r="F617" s="119">
        <f t="shared" si="67"/>
        <v>113.22979199999999</v>
      </c>
      <c r="G617" s="5">
        <v>0.40000000000000008</v>
      </c>
      <c r="H617" s="103">
        <f>I617*2.2046</f>
        <v>1.1023000000000001</v>
      </c>
      <c r="I617" s="68">
        <v>0.5</v>
      </c>
      <c r="J617" s="63"/>
      <c r="K617" s="122">
        <f t="shared" si="68"/>
        <v>166.07036160000001</v>
      </c>
      <c r="O617" s="65">
        <v>185.01600000000002</v>
      </c>
    </row>
    <row r="618" spans="1:15">
      <c r="A618" s="63" t="s">
        <v>250</v>
      </c>
      <c r="B618" s="63" t="s">
        <v>301</v>
      </c>
      <c r="C618" s="114">
        <v>169.983</v>
      </c>
      <c r="D618" s="125">
        <v>0.02</v>
      </c>
      <c r="E618" s="124">
        <v>0.04</v>
      </c>
      <c r="F618" s="119">
        <f t="shared" si="67"/>
        <v>101.98979999999997</v>
      </c>
      <c r="G618" s="5">
        <v>0.40000000000000008</v>
      </c>
      <c r="H618" s="103">
        <f t="shared" ref="H618:H619" si="71">I618*2.2046</f>
        <v>2.2046000000000001</v>
      </c>
      <c r="I618" s="100">
        <v>1</v>
      </c>
      <c r="J618" s="63"/>
      <c r="K618" s="122">
        <f t="shared" si="68"/>
        <v>149.58503999999999</v>
      </c>
      <c r="O618" s="114">
        <v>166.65</v>
      </c>
    </row>
    <row r="619" spans="1:15">
      <c r="A619" s="63" t="s">
        <v>252</v>
      </c>
      <c r="B619" s="63" t="s">
        <v>302</v>
      </c>
      <c r="C619" s="114">
        <v>169.983</v>
      </c>
      <c r="D619" s="125">
        <v>0.02</v>
      </c>
      <c r="E619" s="124">
        <v>0.04</v>
      </c>
      <c r="F619" s="119">
        <f t="shared" si="67"/>
        <v>101.98979999999997</v>
      </c>
      <c r="G619" s="5">
        <v>0.40000000000000008</v>
      </c>
      <c r="H619" s="103">
        <f t="shared" si="71"/>
        <v>2.2046000000000001</v>
      </c>
      <c r="I619" s="100">
        <v>1</v>
      </c>
      <c r="J619" s="63"/>
      <c r="K619" s="122">
        <f t="shared" si="68"/>
        <v>149.58503999999999</v>
      </c>
      <c r="O619" s="114">
        <v>166.65</v>
      </c>
    </row>
    <row r="620" spans="1:15">
      <c r="A620" s="67" t="s">
        <v>305</v>
      </c>
      <c r="B620" s="66" t="s">
        <v>306</v>
      </c>
      <c r="C620" s="114">
        <v>169.983</v>
      </c>
      <c r="D620" s="125">
        <v>0.02</v>
      </c>
      <c r="E620" s="124">
        <v>0.04</v>
      </c>
      <c r="F620" s="119">
        <f t="shared" ref="F620" si="72">C620*(1-G620)</f>
        <v>101.98979999999997</v>
      </c>
      <c r="G620" s="5">
        <v>0.40000000000000008</v>
      </c>
      <c r="H620" s="6">
        <v>1</v>
      </c>
      <c r="I620" s="68">
        <v>0.5</v>
      </c>
      <c r="J620" s="68"/>
      <c r="K620" s="122">
        <f t="shared" si="68"/>
        <v>149.58503999999999</v>
      </c>
      <c r="O620" s="114">
        <v>166.65</v>
      </c>
    </row>
    <row r="621" spans="1:15">
      <c r="A621" s="82"/>
      <c r="B621" s="82"/>
      <c r="C621" s="114"/>
      <c r="D621" s="128"/>
      <c r="E621" s="124"/>
      <c r="F621" s="119"/>
      <c r="G621" s="76">
        <v>0.4</v>
      </c>
      <c r="H621" s="16"/>
      <c r="I621" s="108"/>
      <c r="J621" s="16"/>
      <c r="K621" s="122"/>
      <c r="O621" s="114"/>
    </row>
    <row r="622" spans="1:15">
      <c r="A622" s="82"/>
      <c r="B622" s="82"/>
      <c r="C622" s="114"/>
      <c r="D622" s="128"/>
      <c r="E622" s="124"/>
      <c r="F622" s="119"/>
      <c r="G622" s="76">
        <v>0.4</v>
      </c>
      <c r="H622" s="16"/>
      <c r="I622" s="108"/>
      <c r="J622" s="16"/>
      <c r="K622" s="122"/>
      <c r="O622" s="114"/>
    </row>
    <row r="623" spans="1:15" ht="18.75">
      <c r="A623" s="79" t="s">
        <v>535</v>
      </c>
      <c r="B623" s="66"/>
      <c r="C623" s="113"/>
      <c r="D623" s="127"/>
      <c r="E623" s="124"/>
      <c r="F623" s="119"/>
      <c r="G623" s="76">
        <v>0.4</v>
      </c>
      <c r="H623" s="16"/>
      <c r="I623" s="108"/>
      <c r="J623" s="16"/>
      <c r="K623" s="122"/>
      <c r="O623" s="113"/>
    </row>
    <row r="624" spans="1:15">
      <c r="A624" s="82" t="s">
        <v>217</v>
      </c>
      <c r="B624" s="82" t="s">
        <v>218</v>
      </c>
      <c r="C624" s="114">
        <v>16443.522000000001</v>
      </c>
      <c r="D624" s="125">
        <v>0.02</v>
      </c>
      <c r="E624" s="124">
        <v>0.02</v>
      </c>
      <c r="F624" s="119">
        <f t="shared" ref="F624:F633" si="73">C624*(1-G624)</f>
        <v>9866.1131999999998</v>
      </c>
      <c r="G624" s="76">
        <v>0.4</v>
      </c>
      <c r="H624" s="4">
        <v>82</v>
      </c>
      <c r="I624" s="109">
        <v>37</v>
      </c>
      <c r="J624" s="16"/>
      <c r="K624" s="122">
        <f t="shared" ref="K624:K633" si="74">C624*0.88</f>
        <v>14470.299360000001</v>
      </c>
      <c r="O624" s="114">
        <v>16121.1</v>
      </c>
    </row>
    <row r="625" spans="1:15">
      <c r="A625" s="82" t="s">
        <v>219</v>
      </c>
      <c r="B625" s="82" t="s">
        <v>220</v>
      </c>
      <c r="C625" s="114">
        <v>16443.522000000001</v>
      </c>
      <c r="D625" s="125">
        <v>0.02</v>
      </c>
      <c r="E625" s="124">
        <v>0.02</v>
      </c>
      <c r="F625" s="119">
        <f t="shared" si="73"/>
        <v>9866.1131999999998</v>
      </c>
      <c r="G625" s="76">
        <v>0.4</v>
      </c>
      <c r="H625" s="4">
        <v>82</v>
      </c>
      <c r="I625" s="109">
        <v>37</v>
      </c>
      <c r="J625" s="16"/>
      <c r="K625" s="122">
        <f t="shared" si="74"/>
        <v>14470.299360000001</v>
      </c>
      <c r="O625" s="114">
        <v>16121.1</v>
      </c>
    </row>
    <row r="626" spans="1:15">
      <c r="A626" s="82" t="s">
        <v>221</v>
      </c>
      <c r="B626" s="82" t="s">
        <v>222</v>
      </c>
      <c r="C626" s="114">
        <v>18938.4012</v>
      </c>
      <c r="D626" s="125">
        <v>0.02</v>
      </c>
      <c r="E626" s="124">
        <v>0.02</v>
      </c>
      <c r="F626" s="119">
        <f t="shared" si="73"/>
        <v>11363.040719999999</v>
      </c>
      <c r="G626" s="76">
        <v>0.4</v>
      </c>
      <c r="H626" s="4">
        <v>82</v>
      </c>
      <c r="I626" s="109">
        <v>37</v>
      </c>
      <c r="J626" s="16"/>
      <c r="K626" s="122">
        <f t="shared" si="74"/>
        <v>16665.793055999999</v>
      </c>
      <c r="O626" s="114">
        <v>18567.060000000001</v>
      </c>
    </row>
    <row r="627" spans="1:15" s="21" customFormat="1">
      <c r="A627" s="82" t="s">
        <v>223</v>
      </c>
      <c r="B627" s="82" t="s">
        <v>224</v>
      </c>
      <c r="C627" s="114">
        <v>18938.4012</v>
      </c>
      <c r="D627" s="125">
        <v>0.02</v>
      </c>
      <c r="E627" s="124">
        <v>0.02</v>
      </c>
      <c r="F627" s="119">
        <f t="shared" si="73"/>
        <v>11363.040719999999</v>
      </c>
      <c r="G627" s="76">
        <v>0.4</v>
      </c>
      <c r="H627" s="4">
        <v>82</v>
      </c>
      <c r="I627" s="109">
        <v>37</v>
      </c>
      <c r="J627" s="16"/>
      <c r="K627" s="122">
        <f t="shared" si="74"/>
        <v>16665.793055999999</v>
      </c>
      <c r="O627" s="114">
        <v>18567.060000000001</v>
      </c>
    </row>
    <row r="628" spans="1:15" s="21" customFormat="1">
      <c r="A628" s="81" t="s">
        <v>226</v>
      </c>
      <c r="B628" s="81" t="s">
        <v>147</v>
      </c>
      <c r="C628" s="114">
        <v>10206.324000000001</v>
      </c>
      <c r="D628" s="125">
        <v>0.02</v>
      </c>
      <c r="E628" s="124">
        <v>0.02</v>
      </c>
      <c r="F628" s="119">
        <f t="shared" si="73"/>
        <v>6123.7943999999998</v>
      </c>
      <c r="G628" s="76">
        <v>0.4</v>
      </c>
      <c r="H628" s="4">
        <v>10</v>
      </c>
      <c r="I628" s="109">
        <v>5</v>
      </c>
      <c r="J628" s="16"/>
      <c r="K628" s="122">
        <f t="shared" si="74"/>
        <v>8981.5651200000011</v>
      </c>
      <c r="O628" s="114">
        <v>10006.200000000001</v>
      </c>
    </row>
    <row r="629" spans="1:15" s="21" customFormat="1">
      <c r="A629" s="81" t="s">
        <v>225</v>
      </c>
      <c r="B629" s="81" t="s">
        <v>146</v>
      </c>
      <c r="C629" s="114">
        <v>11022.82992</v>
      </c>
      <c r="D629" s="125">
        <v>0.02</v>
      </c>
      <c r="E629" s="124">
        <v>0.02</v>
      </c>
      <c r="F629" s="119">
        <f t="shared" si="73"/>
        <v>6613.6979519999995</v>
      </c>
      <c r="G629" s="76">
        <v>0.4</v>
      </c>
      <c r="H629" s="4">
        <v>10</v>
      </c>
      <c r="I629" s="109">
        <v>5</v>
      </c>
      <c r="J629" s="16"/>
      <c r="K629" s="122">
        <f t="shared" si="74"/>
        <v>9700.0903295999997</v>
      </c>
      <c r="O629" s="114">
        <v>10806.696</v>
      </c>
    </row>
    <row r="630" spans="1:15" s="21" customFormat="1">
      <c r="A630" s="62" t="s">
        <v>314</v>
      </c>
      <c r="B630" s="62" t="s">
        <v>315</v>
      </c>
      <c r="C630" s="112">
        <v>1731.0175200000001</v>
      </c>
      <c r="D630" s="125">
        <v>0.02</v>
      </c>
      <c r="E630" s="124">
        <v>0.02</v>
      </c>
      <c r="F630" s="119">
        <f t="shared" si="73"/>
        <v>1038.610512</v>
      </c>
      <c r="G630" s="5">
        <v>0.4</v>
      </c>
      <c r="H630" s="103">
        <f>I630*2.2046</f>
        <v>28.659800000000001</v>
      </c>
      <c r="I630" s="100">
        <v>13</v>
      </c>
      <c r="J630" s="63"/>
      <c r="K630" s="122">
        <f t="shared" si="74"/>
        <v>1523.2954176000001</v>
      </c>
      <c r="O630" s="112">
        <v>1697.076</v>
      </c>
    </row>
    <row r="631" spans="1:15" s="21" customFormat="1">
      <c r="A631" s="62" t="s">
        <v>316</v>
      </c>
      <c r="B631" s="62" t="s">
        <v>317</v>
      </c>
      <c r="C631" s="112">
        <v>1731.0175200000001</v>
      </c>
      <c r="D631" s="125">
        <v>0.02</v>
      </c>
      <c r="E631" s="124">
        <v>0.02</v>
      </c>
      <c r="F631" s="119">
        <f t="shared" si="73"/>
        <v>1038.610512</v>
      </c>
      <c r="G631" s="5">
        <v>0.4</v>
      </c>
      <c r="H631" s="103">
        <f>I631*2.2046</f>
        <v>28.659800000000001</v>
      </c>
      <c r="I631" s="100">
        <v>13</v>
      </c>
      <c r="J631" s="63"/>
      <c r="K631" s="122">
        <f t="shared" si="74"/>
        <v>1523.2954176000001</v>
      </c>
      <c r="O631" s="112">
        <v>1697.076</v>
      </c>
    </row>
    <row r="632" spans="1:15" s="21" customFormat="1">
      <c r="A632" s="62" t="s">
        <v>318</v>
      </c>
      <c r="B632" s="62" t="s">
        <v>319</v>
      </c>
      <c r="C632" s="112">
        <v>1586.7140399999998</v>
      </c>
      <c r="D632" s="125">
        <v>0.02</v>
      </c>
      <c r="E632" s="124">
        <v>0.02</v>
      </c>
      <c r="F632" s="119">
        <f t="shared" si="73"/>
        <v>952.02842399999986</v>
      </c>
      <c r="G632" s="5">
        <v>0.4</v>
      </c>
      <c r="H632" s="103">
        <f t="shared" ref="H632:H633" si="75">I632*2.2046</f>
        <v>4.1887400000000001</v>
      </c>
      <c r="I632" s="100">
        <v>1.9</v>
      </c>
      <c r="J632" s="63"/>
      <c r="K632" s="122">
        <f t="shared" si="74"/>
        <v>1396.3083551999998</v>
      </c>
      <c r="O632" s="112">
        <v>1555.6019999999999</v>
      </c>
    </row>
    <row r="633" spans="1:15" s="21" customFormat="1">
      <c r="A633" s="62" t="s">
        <v>320</v>
      </c>
      <c r="B633" s="62" t="s">
        <v>321</v>
      </c>
      <c r="C633" s="112">
        <v>1586.7140399999998</v>
      </c>
      <c r="D633" s="125">
        <v>0.02</v>
      </c>
      <c r="E633" s="124">
        <v>0.02</v>
      </c>
      <c r="F633" s="119">
        <f t="shared" si="73"/>
        <v>952.02842399999986</v>
      </c>
      <c r="G633" s="5">
        <v>0.4</v>
      </c>
      <c r="H633" s="103">
        <f t="shared" si="75"/>
        <v>4.8501200000000004</v>
      </c>
      <c r="I633" s="100">
        <v>2.2000000000000002</v>
      </c>
      <c r="J633" s="63"/>
      <c r="K633" s="122">
        <f t="shared" si="74"/>
        <v>1396.3083551999998</v>
      </c>
      <c r="O633" s="112">
        <v>1555.6019999999999</v>
      </c>
    </row>
    <row r="634" spans="1:15" s="21" customFormat="1">
      <c r="A634" s="61"/>
      <c r="B634" s="63"/>
      <c r="C634" s="118"/>
      <c r="D634" s="127"/>
      <c r="E634" s="124"/>
      <c r="F634" s="121"/>
      <c r="G634" s="76">
        <v>0.4</v>
      </c>
      <c r="H634" s="111"/>
      <c r="I634" s="110"/>
      <c r="J634" s="16"/>
      <c r="K634" s="122"/>
      <c r="O634" s="118"/>
    </row>
    <row r="635" spans="1:15" s="21" customFormat="1">
      <c r="A635" s="83"/>
      <c r="B635" s="83"/>
      <c r="C635" s="118"/>
      <c r="D635" s="127"/>
      <c r="E635" s="124"/>
      <c r="F635" s="121"/>
      <c r="G635" s="76">
        <v>0.4</v>
      </c>
      <c r="H635" s="111"/>
      <c r="I635" s="110"/>
      <c r="J635" s="16"/>
      <c r="K635" s="122"/>
      <c r="O635" s="118"/>
    </row>
    <row r="636" spans="1:15" s="21" customFormat="1" ht="18.75">
      <c r="A636" s="79" t="s">
        <v>534</v>
      </c>
      <c r="B636" s="66"/>
      <c r="C636" s="118"/>
      <c r="D636" s="127"/>
      <c r="E636" s="124"/>
      <c r="F636" s="121"/>
      <c r="G636" s="76">
        <v>0.4</v>
      </c>
      <c r="H636" s="16"/>
      <c r="I636" s="108"/>
      <c r="J636" s="16"/>
      <c r="K636" s="122"/>
      <c r="O636" s="118"/>
    </row>
    <row r="637" spans="1:15" s="21" customFormat="1">
      <c r="A637" s="82" t="s">
        <v>227</v>
      </c>
      <c r="B637" s="82" t="s">
        <v>292</v>
      </c>
      <c r="C637" s="114">
        <v>12495.932280000001</v>
      </c>
      <c r="D637" s="125">
        <v>0.02</v>
      </c>
      <c r="E637" s="124">
        <v>0.02</v>
      </c>
      <c r="F637" s="119">
        <f t="shared" ref="F637:F644" si="76">C637*(1-G637)</f>
        <v>7497.5593680000002</v>
      </c>
      <c r="G637" s="76">
        <v>0.4</v>
      </c>
      <c r="H637" s="4">
        <v>158</v>
      </c>
      <c r="I637" s="109">
        <v>72</v>
      </c>
      <c r="J637" s="16"/>
      <c r="K637" s="122">
        <f>C637*0.88</f>
        <v>10996.420406400001</v>
      </c>
      <c r="O637" s="114">
        <v>12250.914000000001</v>
      </c>
    </row>
    <row r="638" spans="1:15" s="21" customFormat="1">
      <c r="A638" s="81" t="s">
        <v>228</v>
      </c>
      <c r="B638" s="81" t="s">
        <v>164</v>
      </c>
      <c r="C638" s="114">
        <v>4227.6654000000008</v>
      </c>
      <c r="D638" s="125">
        <v>0.02</v>
      </c>
      <c r="E638" s="124">
        <v>0.02</v>
      </c>
      <c r="F638" s="119">
        <f t="shared" si="76"/>
        <v>2536.5992400000005</v>
      </c>
      <c r="G638" s="76">
        <v>0.4</v>
      </c>
      <c r="H638" s="4">
        <v>10</v>
      </c>
      <c r="I638" s="109">
        <v>5</v>
      </c>
      <c r="J638" s="16"/>
      <c r="K638" s="122">
        <f>C638*0.88</f>
        <v>3720.3455520000007</v>
      </c>
      <c r="O638" s="114">
        <v>4144.7700000000004</v>
      </c>
    </row>
    <row r="639" spans="1:15" s="21" customFormat="1">
      <c r="A639" s="81" t="s">
        <v>229</v>
      </c>
      <c r="B639" s="81" t="s">
        <v>244</v>
      </c>
      <c r="C639" s="114">
        <v>680.42160000000001</v>
      </c>
      <c r="D639" s="125">
        <v>0.02</v>
      </c>
      <c r="E639" s="124">
        <v>0.02</v>
      </c>
      <c r="F639" s="119">
        <f t="shared" si="76"/>
        <v>408.25295999999997</v>
      </c>
      <c r="G639" s="76">
        <v>0.4</v>
      </c>
      <c r="H639" s="4">
        <v>4</v>
      </c>
      <c r="I639" s="109">
        <v>2</v>
      </c>
      <c r="J639" s="16"/>
      <c r="K639" s="122">
        <f>C639*0.88</f>
        <v>598.77100800000005</v>
      </c>
      <c r="O639" s="114">
        <v>667.08</v>
      </c>
    </row>
    <row r="640" spans="1:15" s="21" customFormat="1">
      <c r="A640" s="81" t="s">
        <v>230</v>
      </c>
      <c r="B640" s="81" t="s">
        <v>245</v>
      </c>
      <c r="C640" s="114">
        <v>150.23376000000002</v>
      </c>
      <c r="D640" s="125">
        <v>0.02</v>
      </c>
      <c r="E640" s="124">
        <v>0.02</v>
      </c>
      <c r="F640" s="119">
        <f t="shared" si="76"/>
        <v>90.140256000000008</v>
      </c>
      <c r="G640" s="76">
        <v>0.4</v>
      </c>
      <c r="H640" s="4">
        <v>2</v>
      </c>
      <c r="I640" s="109">
        <v>1</v>
      </c>
      <c r="J640" s="16"/>
      <c r="K640" s="122">
        <f>C640*0.88</f>
        <v>132.20570880000002</v>
      </c>
      <c r="O640" s="114">
        <v>147.28800000000001</v>
      </c>
    </row>
    <row r="641" spans="1:15" s="21" customFormat="1">
      <c r="A641" s="81" t="s">
        <v>231</v>
      </c>
      <c r="B641" s="81" t="s">
        <v>165</v>
      </c>
      <c r="C641" s="114">
        <v>180.30132000000003</v>
      </c>
      <c r="D641" s="125">
        <v>0.02</v>
      </c>
      <c r="E641" s="124">
        <v>0.02</v>
      </c>
      <c r="F641" s="119">
        <f t="shared" si="76"/>
        <v>108.18079200000001</v>
      </c>
      <c r="G641" s="76">
        <v>0.4</v>
      </c>
      <c r="H641" s="4">
        <v>1</v>
      </c>
      <c r="I641" s="109">
        <v>0.5</v>
      </c>
      <c r="J641" s="16"/>
      <c r="K641" s="122">
        <f>C641*0.88</f>
        <v>158.66516160000003</v>
      </c>
      <c r="O641" s="114">
        <v>176.76600000000002</v>
      </c>
    </row>
    <row r="642" spans="1:15" s="21" customFormat="1">
      <c r="A642" s="81" t="s">
        <v>232</v>
      </c>
      <c r="B642" s="81" t="s">
        <v>242</v>
      </c>
      <c r="C642" s="114">
        <v>254.39</v>
      </c>
      <c r="D642" s="125">
        <v>0.02</v>
      </c>
      <c r="E642" s="124">
        <v>0.02</v>
      </c>
      <c r="F642" s="119">
        <f t="shared" si="76"/>
        <v>152.63399999999999</v>
      </c>
      <c r="G642" s="76">
        <v>0.4</v>
      </c>
      <c r="H642" s="4">
        <v>2</v>
      </c>
      <c r="I642" s="109">
        <v>1</v>
      </c>
      <c r="J642" s="16"/>
      <c r="K642" s="122">
        <f t="shared" ref="K642:K644" si="77">C642*0.88</f>
        <v>223.86319999999998</v>
      </c>
      <c r="O642" s="114">
        <v>393.61799999999999</v>
      </c>
    </row>
    <row r="643" spans="1:15" s="21" customFormat="1">
      <c r="A643" s="81" t="s">
        <v>233</v>
      </c>
      <c r="B643" s="81" t="s">
        <v>536</v>
      </c>
      <c r="C643" s="114">
        <v>216.4032</v>
      </c>
      <c r="D643" s="125">
        <v>0.02</v>
      </c>
      <c r="E643" s="124">
        <v>0.02</v>
      </c>
      <c r="F643" s="119">
        <f t="shared" si="76"/>
        <v>129.84191999999999</v>
      </c>
      <c r="G643" s="76">
        <v>0.4</v>
      </c>
      <c r="H643" s="4">
        <v>1</v>
      </c>
      <c r="I643" s="109">
        <v>0.5</v>
      </c>
      <c r="J643" s="16"/>
      <c r="K643" s="122">
        <f t="shared" si="77"/>
        <v>190.43481600000001</v>
      </c>
      <c r="O643" s="114">
        <v>212.16</v>
      </c>
    </row>
    <row r="644" spans="1:15" s="21" customFormat="1">
      <c r="A644" s="81" t="s">
        <v>234</v>
      </c>
      <c r="B644" s="81" t="s">
        <v>243</v>
      </c>
      <c r="C644" s="114">
        <v>254.39</v>
      </c>
      <c r="D644" s="125">
        <v>0.02</v>
      </c>
      <c r="E644" s="124">
        <v>0.02</v>
      </c>
      <c r="F644" s="119">
        <f t="shared" si="76"/>
        <v>152.63399999999999</v>
      </c>
      <c r="G644" s="76">
        <v>0.4</v>
      </c>
      <c r="H644" s="4">
        <v>2</v>
      </c>
      <c r="I644" s="109">
        <v>1</v>
      </c>
      <c r="J644" s="16"/>
      <c r="K644" s="122">
        <f t="shared" si="77"/>
        <v>223.86319999999998</v>
      </c>
      <c r="O644" s="114">
        <v>453.69600000000003</v>
      </c>
    </row>
    <row r="645" spans="1:15" s="21" customFormat="1">
      <c r="A645"/>
      <c r="B645"/>
      <c r="F645"/>
      <c r="G645"/>
      <c r="H645"/>
      <c r="I645" s="97"/>
      <c r="J645"/>
      <c r="K645"/>
    </row>
    <row r="646" spans="1:15" s="21" customFormat="1">
      <c r="A646"/>
      <c r="B646"/>
      <c r="F646"/>
      <c r="G646"/>
      <c r="H646"/>
      <c r="I646" s="97"/>
      <c r="J646"/>
      <c r="K646"/>
    </row>
    <row r="647" spans="1:15" s="21" customFormat="1">
      <c r="A647"/>
      <c r="B647"/>
      <c r="F647"/>
      <c r="G647"/>
      <c r="H647"/>
      <c r="I647" s="97"/>
      <c r="J647"/>
      <c r="K647"/>
    </row>
    <row r="648" spans="1:15" s="21" customFormat="1">
      <c r="A648"/>
      <c r="B648"/>
      <c r="F648"/>
      <c r="G648"/>
      <c r="H648"/>
      <c r="I648" s="97"/>
      <c r="J648"/>
      <c r="K648"/>
    </row>
    <row r="649" spans="1:15" s="21" customFormat="1">
      <c r="A649"/>
      <c r="B649"/>
      <c r="F649"/>
      <c r="G649"/>
      <c r="H649"/>
      <c r="I649" s="97"/>
      <c r="J649"/>
      <c r="K649"/>
    </row>
    <row r="650" spans="1:15" s="21" customFormat="1">
      <c r="A650"/>
      <c r="B650"/>
      <c r="F650"/>
      <c r="G650"/>
      <c r="H650"/>
      <c r="I650" s="97"/>
      <c r="J650"/>
      <c r="K650"/>
    </row>
    <row r="651" spans="1:15" s="21" customFormat="1">
      <c r="A651"/>
      <c r="B651"/>
      <c r="F651"/>
      <c r="G651"/>
      <c r="H651"/>
      <c r="I651" s="97"/>
      <c r="J651"/>
      <c r="K651"/>
    </row>
    <row r="652" spans="1:15" s="21" customFormat="1">
      <c r="A652"/>
      <c r="B652"/>
      <c r="F652"/>
      <c r="G652"/>
      <c r="H652"/>
      <c r="I652" s="97"/>
      <c r="J652"/>
      <c r="K652"/>
    </row>
    <row r="653" spans="1:15" s="21" customFormat="1">
      <c r="A653"/>
      <c r="B653"/>
      <c r="F653"/>
      <c r="G653"/>
      <c r="H653"/>
      <c r="I653" s="97"/>
      <c r="J653"/>
      <c r="K653"/>
    </row>
    <row r="654" spans="1:15" s="21" customFormat="1">
      <c r="A654"/>
      <c r="B654"/>
      <c r="F654"/>
      <c r="G654"/>
      <c r="H654"/>
      <c r="I654" s="97"/>
      <c r="J654"/>
      <c r="K654"/>
    </row>
    <row r="655" spans="1:15" s="21" customFormat="1">
      <c r="A655"/>
      <c r="B655"/>
      <c r="F655"/>
      <c r="G655"/>
      <c r="H655"/>
      <c r="I655" s="97"/>
      <c r="J655"/>
      <c r="K655"/>
    </row>
    <row r="656" spans="1:15" s="21" customFormat="1">
      <c r="A656"/>
      <c r="B656"/>
      <c r="F656"/>
      <c r="G656"/>
      <c r="H656"/>
      <c r="I656" s="97"/>
      <c r="J656"/>
      <c r="K656"/>
    </row>
    <row r="657" spans="1:11" s="21" customFormat="1">
      <c r="A657"/>
      <c r="B657"/>
      <c r="F657"/>
      <c r="G657"/>
      <c r="H657"/>
      <c r="I657" s="97"/>
      <c r="J657"/>
      <c r="K657"/>
    </row>
    <row r="658" spans="1:11" s="21" customFormat="1">
      <c r="A658"/>
      <c r="B658"/>
      <c r="F658"/>
      <c r="G658"/>
      <c r="H658"/>
      <c r="I658" s="97"/>
      <c r="J658"/>
      <c r="K658"/>
    </row>
    <row r="659" spans="1:11" s="21" customFormat="1">
      <c r="A659"/>
      <c r="B659"/>
      <c r="F659"/>
      <c r="G659"/>
      <c r="H659"/>
      <c r="I659" s="97"/>
      <c r="J659"/>
      <c r="K659"/>
    </row>
    <row r="660" spans="1:11" s="21" customFormat="1">
      <c r="A660"/>
      <c r="B660"/>
      <c r="F660"/>
      <c r="G660"/>
      <c r="H660"/>
      <c r="I660" s="97"/>
      <c r="J660"/>
      <c r="K660"/>
    </row>
    <row r="661" spans="1:11" s="21" customFormat="1">
      <c r="A661"/>
      <c r="B661"/>
      <c r="F661"/>
      <c r="G661"/>
      <c r="H661"/>
      <c r="I661" s="97"/>
      <c r="J661"/>
      <c r="K661"/>
    </row>
    <row r="662" spans="1:11" s="21" customFormat="1">
      <c r="A662"/>
      <c r="B662"/>
      <c r="F662"/>
      <c r="G662"/>
      <c r="H662"/>
      <c r="I662" s="97"/>
      <c r="J662"/>
      <c r="K662"/>
    </row>
    <row r="663" spans="1:11" s="21" customFormat="1">
      <c r="A663"/>
      <c r="B663"/>
      <c r="F663"/>
      <c r="G663"/>
      <c r="H663"/>
      <c r="I663" s="97"/>
      <c r="J663"/>
      <c r="K663"/>
    </row>
    <row r="664" spans="1:11" s="21" customFormat="1">
      <c r="A664"/>
      <c r="B664"/>
      <c r="F664"/>
      <c r="G664"/>
      <c r="H664"/>
      <c r="I664" s="97"/>
      <c r="J664"/>
      <c r="K664"/>
    </row>
    <row r="665" spans="1:11" s="21" customFormat="1">
      <c r="A665"/>
      <c r="B665"/>
      <c r="F665"/>
      <c r="G665"/>
      <c r="H665"/>
      <c r="I665" s="97"/>
      <c r="J665"/>
      <c r="K665"/>
    </row>
    <row r="666" spans="1:11" s="21" customFormat="1">
      <c r="A666"/>
      <c r="B666"/>
      <c r="F666"/>
      <c r="G666"/>
      <c r="H666"/>
      <c r="I666" s="97"/>
      <c r="J666"/>
      <c r="K666"/>
    </row>
    <row r="667" spans="1:11" s="21" customFormat="1">
      <c r="A667"/>
      <c r="B667"/>
      <c r="F667"/>
      <c r="G667"/>
      <c r="H667"/>
      <c r="I667" s="97"/>
      <c r="J667"/>
      <c r="K667"/>
    </row>
    <row r="668" spans="1:11" s="21" customFormat="1">
      <c r="A668"/>
      <c r="B668"/>
      <c r="F668"/>
      <c r="G668"/>
      <c r="H668"/>
      <c r="I668" s="97"/>
      <c r="J668"/>
      <c r="K668"/>
    </row>
    <row r="669" spans="1:11" s="21" customFormat="1">
      <c r="A669"/>
      <c r="B669"/>
      <c r="F669"/>
      <c r="G669"/>
      <c r="H669"/>
      <c r="I669" s="97"/>
      <c r="J669"/>
      <c r="K669"/>
    </row>
    <row r="670" spans="1:11" s="21" customFormat="1">
      <c r="A670"/>
      <c r="B670"/>
      <c r="F670"/>
      <c r="G670"/>
      <c r="H670"/>
      <c r="I670" s="97"/>
      <c r="J670"/>
      <c r="K670"/>
    </row>
    <row r="671" spans="1:11" s="21" customFormat="1">
      <c r="A671"/>
      <c r="B671"/>
      <c r="F671"/>
      <c r="G671"/>
      <c r="H671"/>
      <c r="I671" s="97"/>
      <c r="J671"/>
      <c r="K671"/>
    </row>
    <row r="672" spans="1:11" s="21" customFormat="1">
      <c r="A672"/>
      <c r="B672"/>
      <c r="F672"/>
      <c r="G672"/>
      <c r="H672"/>
      <c r="I672" s="97"/>
      <c r="J672"/>
      <c r="K672"/>
    </row>
    <row r="673" spans="1:11" s="21" customFormat="1">
      <c r="A673"/>
      <c r="B673"/>
      <c r="F673"/>
      <c r="G673"/>
      <c r="H673"/>
      <c r="I673" s="97"/>
      <c r="J673"/>
      <c r="K673"/>
    </row>
    <row r="674" spans="1:11" s="21" customFormat="1">
      <c r="A674"/>
      <c r="B674"/>
      <c r="F674"/>
      <c r="G674"/>
      <c r="H674"/>
      <c r="I674" s="97"/>
      <c r="J674"/>
      <c r="K674"/>
    </row>
    <row r="675" spans="1:11" s="21" customFormat="1">
      <c r="A675"/>
      <c r="B675"/>
      <c r="F675"/>
      <c r="G675"/>
      <c r="H675"/>
      <c r="I675" s="97"/>
      <c r="J675"/>
      <c r="K675"/>
    </row>
    <row r="676" spans="1:11" s="21" customFormat="1">
      <c r="A676"/>
      <c r="B676"/>
      <c r="F676"/>
      <c r="G676"/>
      <c r="H676"/>
      <c r="I676" s="97"/>
      <c r="J676"/>
      <c r="K676"/>
    </row>
    <row r="677" spans="1:11" s="21" customFormat="1">
      <c r="A677"/>
      <c r="B677"/>
      <c r="F677"/>
      <c r="G677"/>
      <c r="H677"/>
      <c r="I677" s="97"/>
      <c r="J677"/>
      <c r="K677"/>
    </row>
    <row r="678" spans="1:11" s="21" customFormat="1">
      <c r="A678"/>
      <c r="B678"/>
      <c r="F678"/>
      <c r="G678"/>
      <c r="H678"/>
      <c r="I678" s="97"/>
      <c r="J678"/>
      <c r="K678"/>
    </row>
    <row r="679" spans="1:11" s="21" customFormat="1">
      <c r="A679"/>
      <c r="B679"/>
      <c r="F679"/>
      <c r="G679"/>
      <c r="H679"/>
      <c r="I679" s="97"/>
      <c r="J679"/>
      <c r="K679"/>
    </row>
    <row r="680" spans="1:11" s="21" customFormat="1">
      <c r="A680"/>
      <c r="B680"/>
      <c r="F680"/>
      <c r="G680"/>
      <c r="H680"/>
      <c r="I680" s="97"/>
      <c r="J680"/>
      <c r="K680"/>
    </row>
    <row r="681" spans="1:11" s="21" customFormat="1">
      <c r="A681"/>
      <c r="B681"/>
      <c r="F681"/>
      <c r="G681"/>
      <c r="H681"/>
      <c r="I681" s="97"/>
      <c r="J681"/>
      <c r="K681"/>
    </row>
    <row r="682" spans="1:11" s="21" customFormat="1">
      <c r="A682"/>
      <c r="B682"/>
      <c r="F682"/>
      <c r="G682"/>
      <c r="H682"/>
      <c r="I682" s="97"/>
      <c r="J682"/>
      <c r="K682"/>
    </row>
    <row r="683" spans="1:11" s="21" customFormat="1">
      <c r="A683"/>
      <c r="B683"/>
      <c r="F683"/>
      <c r="G683"/>
      <c r="H683"/>
      <c r="I683" s="97"/>
      <c r="J683"/>
      <c r="K683"/>
    </row>
    <row r="684" spans="1:11" s="21" customFormat="1">
      <c r="A684"/>
      <c r="B684"/>
      <c r="F684"/>
      <c r="G684"/>
      <c r="H684"/>
      <c r="I684" s="97"/>
      <c r="J684"/>
      <c r="K684"/>
    </row>
    <row r="685" spans="1:11" s="21" customFormat="1">
      <c r="A685"/>
      <c r="B685"/>
      <c r="F685"/>
      <c r="G685"/>
      <c r="H685"/>
      <c r="I685" s="97"/>
      <c r="J685"/>
      <c r="K685"/>
    </row>
    <row r="686" spans="1:11" s="21" customFormat="1">
      <c r="A686"/>
      <c r="B686"/>
      <c r="F686"/>
      <c r="G686"/>
      <c r="H686"/>
      <c r="I686" s="97"/>
      <c r="J686"/>
      <c r="K686"/>
    </row>
    <row r="687" spans="1:11" s="21" customFormat="1">
      <c r="A687"/>
      <c r="B687"/>
      <c r="F687"/>
      <c r="G687"/>
      <c r="H687"/>
      <c r="I687" s="97"/>
      <c r="J687"/>
      <c r="K687"/>
    </row>
    <row r="688" spans="1:11" s="21" customFormat="1">
      <c r="A688"/>
      <c r="B688"/>
      <c r="F688"/>
      <c r="G688"/>
      <c r="H688"/>
      <c r="I688" s="97"/>
      <c r="J688"/>
      <c r="K688"/>
    </row>
    <row r="689" spans="1:11" s="21" customFormat="1">
      <c r="A689"/>
      <c r="B689"/>
      <c r="F689"/>
      <c r="G689"/>
      <c r="H689"/>
      <c r="I689" s="97"/>
      <c r="J689"/>
      <c r="K689"/>
    </row>
    <row r="690" spans="1:11" s="21" customFormat="1">
      <c r="A690"/>
      <c r="B690"/>
      <c r="F690"/>
      <c r="G690"/>
      <c r="H690"/>
      <c r="I690" s="97"/>
      <c r="J690"/>
      <c r="K690"/>
    </row>
    <row r="691" spans="1:11" s="21" customFormat="1">
      <c r="A691"/>
      <c r="B691"/>
      <c r="F691"/>
      <c r="G691"/>
      <c r="H691"/>
      <c r="I691" s="97"/>
      <c r="J691"/>
      <c r="K691"/>
    </row>
    <row r="692" spans="1:11" s="21" customFormat="1">
      <c r="A692"/>
      <c r="B692"/>
      <c r="F692"/>
      <c r="G692"/>
      <c r="H692"/>
      <c r="I692" s="97"/>
      <c r="J692"/>
      <c r="K692"/>
    </row>
    <row r="693" spans="1:11" s="21" customFormat="1">
      <c r="A693"/>
      <c r="B693"/>
      <c r="F693"/>
      <c r="G693"/>
      <c r="H693"/>
      <c r="I693" s="97"/>
      <c r="J693"/>
      <c r="K693"/>
    </row>
    <row r="694" spans="1:11" s="21" customFormat="1">
      <c r="A694"/>
      <c r="B694"/>
      <c r="F694"/>
      <c r="G694"/>
      <c r="H694"/>
      <c r="I694" s="97"/>
      <c r="J694"/>
      <c r="K694"/>
    </row>
    <row r="695" spans="1:11" s="21" customFormat="1">
      <c r="A695"/>
      <c r="B695"/>
      <c r="F695"/>
      <c r="G695"/>
      <c r="H695"/>
      <c r="I695" s="97"/>
      <c r="J695"/>
      <c r="K695"/>
    </row>
    <row r="696" spans="1:11" s="21" customFormat="1">
      <c r="A696"/>
      <c r="B696"/>
      <c r="F696"/>
      <c r="G696"/>
      <c r="H696"/>
      <c r="I696" s="97"/>
      <c r="J696"/>
      <c r="K696"/>
    </row>
    <row r="697" spans="1:11" s="21" customFormat="1">
      <c r="A697"/>
      <c r="B697"/>
      <c r="F697"/>
      <c r="G697"/>
      <c r="H697"/>
      <c r="I697" s="97"/>
      <c r="J697"/>
      <c r="K697"/>
    </row>
    <row r="698" spans="1:11" s="21" customFormat="1">
      <c r="A698"/>
      <c r="B698"/>
      <c r="F698"/>
      <c r="G698"/>
      <c r="H698"/>
      <c r="I698" s="97"/>
      <c r="J698"/>
      <c r="K698"/>
    </row>
    <row r="699" spans="1:11" s="21" customFormat="1">
      <c r="A699"/>
      <c r="B699"/>
      <c r="F699"/>
      <c r="G699"/>
      <c r="H699"/>
      <c r="I699" s="97"/>
      <c r="J699"/>
      <c r="K699"/>
    </row>
    <row r="700" spans="1:11" s="21" customFormat="1">
      <c r="A700"/>
      <c r="B700"/>
      <c r="F700"/>
      <c r="G700"/>
      <c r="H700"/>
      <c r="I700" s="97"/>
      <c r="J700"/>
      <c r="K700"/>
    </row>
    <row r="701" spans="1:11" s="21" customFormat="1">
      <c r="A701"/>
      <c r="B701"/>
      <c r="F701"/>
      <c r="G701"/>
      <c r="H701"/>
      <c r="I701" s="97"/>
      <c r="J701"/>
      <c r="K701"/>
    </row>
    <row r="702" spans="1:11" s="21" customFormat="1">
      <c r="A702"/>
      <c r="B702"/>
      <c r="F702"/>
      <c r="G702"/>
      <c r="H702"/>
      <c r="I702" s="97"/>
      <c r="J702"/>
      <c r="K702"/>
    </row>
    <row r="703" spans="1:11" s="21" customFormat="1">
      <c r="A703"/>
      <c r="B703"/>
      <c r="F703"/>
      <c r="G703"/>
      <c r="H703"/>
      <c r="I703" s="97"/>
      <c r="J703"/>
      <c r="K703"/>
    </row>
    <row r="704" spans="1:11" s="21" customFormat="1">
      <c r="A704"/>
      <c r="B704"/>
      <c r="F704"/>
      <c r="G704"/>
      <c r="H704"/>
      <c r="I704" s="97"/>
      <c r="J704"/>
      <c r="K704"/>
    </row>
    <row r="705" spans="1:11" s="21" customFormat="1">
      <c r="A705"/>
      <c r="B705"/>
      <c r="F705"/>
      <c r="G705"/>
      <c r="H705"/>
      <c r="I705" s="97"/>
      <c r="J705"/>
      <c r="K705"/>
    </row>
    <row r="706" spans="1:11" s="21" customFormat="1">
      <c r="A706"/>
      <c r="B706"/>
      <c r="F706"/>
      <c r="G706"/>
      <c r="H706"/>
      <c r="I706" s="97"/>
      <c r="J706"/>
      <c r="K706"/>
    </row>
    <row r="707" spans="1:11" s="21" customFormat="1">
      <c r="A707"/>
      <c r="B707"/>
      <c r="F707"/>
      <c r="G707"/>
      <c r="H707"/>
      <c r="I707" s="97"/>
      <c r="J707"/>
      <c r="K707"/>
    </row>
    <row r="708" spans="1:11" s="21" customFormat="1">
      <c r="A708"/>
      <c r="B708"/>
      <c r="F708"/>
      <c r="G708"/>
      <c r="H708"/>
      <c r="I708" s="97"/>
      <c r="J708"/>
      <c r="K708"/>
    </row>
    <row r="709" spans="1:11" s="21" customFormat="1">
      <c r="A709"/>
      <c r="B709"/>
      <c r="F709"/>
      <c r="G709"/>
      <c r="H709"/>
      <c r="I709" s="97"/>
      <c r="J709"/>
      <c r="K709"/>
    </row>
    <row r="710" spans="1:11" s="21" customFormat="1">
      <c r="A710"/>
      <c r="B710"/>
      <c r="F710"/>
      <c r="G710"/>
      <c r="H710"/>
      <c r="I710" s="97"/>
      <c r="J710"/>
      <c r="K710"/>
    </row>
    <row r="711" spans="1:11" s="21" customFormat="1">
      <c r="A711"/>
      <c r="B711"/>
      <c r="F711"/>
      <c r="G711"/>
      <c r="H711"/>
      <c r="I711" s="97"/>
      <c r="J711"/>
      <c r="K711"/>
    </row>
    <row r="712" spans="1:11" s="21" customFormat="1">
      <c r="A712"/>
      <c r="B712"/>
      <c r="F712"/>
      <c r="G712"/>
      <c r="H712"/>
      <c r="I712" s="97"/>
      <c r="J712"/>
      <c r="K712"/>
    </row>
    <row r="713" spans="1:11" s="21" customFormat="1">
      <c r="A713"/>
      <c r="B713"/>
      <c r="F713"/>
      <c r="G713"/>
      <c r="H713"/>
      <c r="I713" s="97"/>
      <c r="J713"/>
      <c r="K713"/>
    </row>
    <row r="714" spans="1:11" s="21" customFormat="1">
      <c r="A714"/>
      <c r="B714"/>
      <c r="F714"/>
      <c r="G714"/>
      <c r="H714"/>
      <c r="I714" s="97"/>
      <c r="J714"/>
      <c r="K714"/>
    </row>
    <row r="715" spans="1:11" s="21" customFormat="1">
      <c r="A715"/>
      <c r="B715"/>
      <c r="F715"/>
      <c r="G715"/>
      <c r="H715"/>
      <c r="I715" s="97"/>
      <c r="J715"/>
      <c r="K715"/>
    </row>
    <row r="716" spans="1:11" s="21" customFormat="1">
      <c r="A716"/>
      <c r="B716"/>
      <c r="F716"/>
      <c r="G716"/>
      <c r="H716"/>
      <c r="I716" s="97"/>
      <c r="J716"/>
      <c r="K716"/>
    </row>
    <row r="717" spans="1:11" s="21" customFormat="1">
      <c r="A717"/>
      <c r="B717"/>
      <c r="F717"/>
      <c r="G717"/>
      <c r="H717"/>
      <c r="I717" s="97"/>
      <c r="J717"/>
      <c r="K717"/>
    </row>
    <row r="718" spans="1:11" s="21" customFormat="1">
      <c r="A718"/>
      <c r="B718"/>
      <c r="F718"/>
      <c r="G718"/>
      <c r="H718"/>
      <c r="I718" s="97"/>
      <c r="J718"/>
      <c r="K718"/>
    </row>
    <row r="719" spans="1:11" s="21" customFormat="1">
      <c r="A719"/>
      <c r="B719"/>
      <c r="F719"/>
      <c r="G719"/>
      <c r="H719"/>
      <c r="I719" s="97"/>
      <c r="J719"/>
      <c r="K719"/>
    </row>
    <row r="720" spans="1:11" s="21" customFormat="1">
      <c r="A720"/>
      <c r="B720"/>
      <c r="F720"/>
      <c r="G720"/>
      <c r="H720"/>
      <c r="I720" s="97"/>
      <c r="J720"/>
      <c r="K720"/>
    </row>
    <row r="721" spans="1:11" s="21" customFormat="1">
      <c r="A721"/>
      <c r="B721"/>
      <c r="F721"/>
      <c r="G721"/>
      <c r="H721"/>
      <c r="I721" s="97"/>
      <c r="J721"/>
      <c r="K721"/>
    </row>
    <row r="722" spans="1:11" s="21" customFormat="1">
      <c r="A722"/>
      <c r="B722"/>
      <c r="F722"/>
      <c r="G722"/>
      <c r="H722"/>
      <c r="I722" s="97"/>
      <c r="J722"/>
      <c r="K722"/>
    </row>
    <row r="723" spans="1:11" s="21" customFormat="1">
      <c r="A723"/>
      <c r="B723"/>
      <c r="F723"/>
      <c r="G723"/>
      <c r="H723"/>
      <c r="I723" s="97"/>
      <c r="J723"/>
      <c r="K723"/>
    </row>
    <row r="724" spans="1:11" s="21" customFormat="1">
      <c r="A724"/>
      <c r="B724"/>
      <c r="F724"/>
      <c r="G724"/>
      <c r="H724"/>
      <c r="I724" s="97"/>
      <c r="J724"/>
      <c r="K724"/>
    </row>
    <row r="725" spans="1:11" s="21" customFormat="1">
      <c r="A725"/>
      <c r="B725"/>
      <c r="F725"/>
      <c r="G725"/>
      <c r="H725"/>
      <c r="I725" s="97"/>
      <c r="J725"/>
      <c r="K725"/>
    </row>
    <row r="726" spans="1:11" s="21" customFormat="1">
      <c r="A726"/>
      <c r="B726"/>
      <c r="F726"/>
      <c r="G726"/>
      <c r="H726"/>
      <c r="I726" s="97"/>
      <c r="J726"/>
      <c r="K726"/>
    </row>
    <row r="727" spans="1:11" s="21" customFormat="1">
      <c r="A727"/>
      <c r="B727"/>
      <c r="F727"/>
      <c r="G727"/>
      <c r="H727"/>
      <c r="I727" s="97"/>
      <c r="J727"/>
      <c r="K727"/>
    </row>
    <row r="728" spans="1:11" s="21" customFormat="1">
      <c r="A728"/>
      <c r="B728"/>
      <c r="F728"/>
      <c r="G728"/>
      <c r="H728"/>
      <c r="I728" s="97"/>
      <c r="J728"/>
      <c r="K728"/>
    </row>
    <row r="729" spans="1:11" s="21" customFormat="1">
      <c r="A729"/>
      <c r="B729"/>
      <c r="F729"/>
      <c r="G729"/>
      <c r="H729"/>
      <c r="I729" s="97"/>
      <c r="J729"/>
      <c r="K729"/>
    </row>
    <row r="730" spans="1:11" s="21" customFormat="1">
      <c r="A730"/>
      <c r="B730"/>
      <c r="F730"/>
      <c r="G730"/>
      <c r="H730"/>
      <c r="I730" s="97"/>
      <c r="J730"/>
      <c r="K730"/>
    </row>
    <row r="731" spans="1:11" s="21" customFormat="1">
      <c r="A731"/>
      <c r="B731"/>
      <c r="F731"/>
      <c r="G731"/>
      <c r="H731"/>
      <c r="I731" s="97"/>
      <c r="J731"/>
      <c r="K731"/>
    </row>
    <row r="732" spans="1:11" s="21" customFormat="1">
      <c r="A732"/>
      <c r="B732"/>
      <c r="F732"/>
      <c r="G732"/>
      <c r="H732"/>
      <c r="I732" s="97"/>
      <c r="J732"/>
      <c r="K732"/>
    </row>
    <row r="733" spans="1:11" s="21" customFormat="1">
      <c r="A733"/>
      <c r="B733"/>
      <c r="F733"/>
      <c r="G733"/>
      <c r="H733"/>
      <c r="I733" s="97"/>
      <c r="J733"/>
      <c r="K733"/>
    </row>
    <row r="734" spans="1:11" s="21" customFormat="1">
      <c r="A734"/>
      <c r="B734"/>
      <c r="F734"/>
      <c r="G734"/>
      <c r="H734"/>
      <c r="I734" s="97"/>
      <c r="J734"/>
      <c r="K734"/>
    </row>
    <row r="735" spans="1:11" s="21" customFormat="1">
      <c r="A735"/>
      <c r="B735"/>
      <c r="F735"/>
      <c r="G735"/>
      <c r="H735"/>
      <c r="I735" s="97"/>
      <c r="J735"/>
      <c r="K735"/>
    </row>
    <row r="736" spans="1:11" s="21" customFormat="1">
      <c r="A736"/>
      <c r="B736"/>
      <c r="F736"/>
      <c r="G736"/>
      <c r="H736"/>
      <c r="I736" s="97"/>
      <c r="J736"/>
      <c r="K736"/>
    </row>
    <row r="737" spans="1:11" s="21" customFormat="1">
      <c r="A737"/>
      <c r="B737"/>
      <c r="F737"/>
      <c r="G737"/>
      <c r="H737"/>
      <c r="I737" s="97"/>
      <c r="J737"/>
      <c r="K737"/>
    </row>
    <row r="738" spans="1:11" s="21" customFormat="1">
      <c r="A738"/>
      <c r="B738"/>
      <c r="F738"/>
      <c r="G738"/>
      <c r="H738"/>
      <c r="I738" s="97"/>
      <c r="J738"/>
      <c r="K738"/>
    </row>
    <row r="739" spans="1:11" s="21" customFormat="1">
      <c r="A739"/>
      <c r="B739"/>
      <c r="F739"/>
      <c r="G739"/>
      <c r="H739"/>
      <c r="I739" s="97"/>
      <c r="J739"/>
      <c r="K739"/>
    </row>
    <row r="740" spans="1:11" s="21" customFormat="1">
      <c r="A740"/>
      <c r="B740"/>
      <c r="F740"/>
      <c r="G740"/>
      <c r="H740"/>
      <c r="I740" s="97"/>
      <c r="J740"/>
      <c r="K740"/>
    </row>
    <row r="741" spans="1:11" s="21" customFormat="1">
      <c r="A741"/>
      <c r="B741"/>
      <c r="F741"/>
      <c r="G741"/>
      <c r="H741"/>
      <c r="I741" s="97"/>
      <c r="J741"/>
      <c r="K741"/>
    </row>
    <row r="742" spans="1:11" s="21" customFormat="1">
      <c r="A742"/>
      <c r="B742"/>
      <c r="F742"/>
      <c r="G742"/>
      <c r="H742"/>
      <c r="I742" s="97"/>
      <c r="J742"/>
      <c r="K742"/>
    </row>
    <row r="743" spans="1:11" s="21" customFormat="1">
      <c r="A743"/>
      <c r="B743"/>
      <c r="F743"/>
      <c r="G743"/>
      <c r="H743"/>
      <c r="I743" s="97"/>
      <c r="J743"/>
      <c r="K743"/>
    </row>
    <row r="744" spans="1:11" s="21" customFormat="1">
      <c r="A744"/>
      <c r="B744"/>
      <c r="F744"/>
      <c r="G744"/>
      <c r="H744"/>
      <c r="I744" s="97"/>
      <c r="J744"/>
      <c r="K744"/>
    </row>
    <row r="745" spans="1:11" s="21" customFormat="1">
      <c r="A745"/>
      <c r="B745"/>
      <c r="F745"/>
      <c r="G745"/>
      <c r="H745"/>
      <c r="I745" s="97"/>
      <c r="J745"/>
      <c r="K745"/>
    </row>
    <row r="746" spans="1:11" s="21" customFormat="1">
      <c r="A746"/>
      <c r="B746"/>
      <c r="F746"/>
      <c r="G746"/>
      <c r="H746"/>
      <c r="I746" s="97"/>
      <c r="J746"/>
      <c r="K746"/>
    </row>
    <row r="747" spans="1:11" s="21" customFormat="1">
      <c r="A747"/>
      <c r="B747"/>
      <c r="F747"/>
      <c r="G747"/>
      <c r="H747"/>
      <c r="I747" s="97"/>
      <c r="J747"/>
      <c r="K747"/>
    </row>
    <row r="748" spans="1:11" s="21" customFormat="1">
      <c r="A748"/>
      <c r="B748"/>
      <c r="F748"/>
      <c r="G748"/>
      <c r="H748"/>
      <c r="I748" s="97"/>
      <c r="J748"/>
      <c r="K748"/>
    </row>
    <row r="749" spans="1:11" s="21" customFormat="1">
      <c r="A749"/>
      <c r="B749"/>
      <c r="F749"/>
      <c r="G749"/>
      <c r="H749"/>
      <c r="I749" s="97"/>
      <c r="J749"/>
      <c r="K749"/>
    </row>
    <row r="750" spans="1:11" s="21" customFormat="1">
      <c r="A750"/>
      <c r="B750"/>
      <c r="F750"/>
      <c r="G750"/>
      <c r="H750"/>
      <c r="I750" s="97"/>
      <c r="J750"/>
      <c r="K750"/>
    </row>
    <row r="751" spans="1:11" s="21" customFormat="1">
      <c r="A751"/>
      <c r="B751"/>
      <c r="F751"/>
      <c r="G751"/>
      <c r="H751"/>
      <c r="I751" s="97"/>
      <c r="J751"/>
      <c r="K751"/>
    </row>
    <row r="752" spans="1:11" s="21" customFormat="1">
      <c r="A752"/>
      <c r="B752"/>
      <c r="F752"/>
      <c r="G752"/>
      <c r="H752"/>
      <c r="I752" s="97"/>
      <c r="J752"/>
      <c r="K752"/>
    </row>
    <row r="753" spans="1:11" s="21" customFormat="1">
      <c r="A753"/>
      <c r="B753"/>
      <c r="F753"/>
      <c r="G753"/>
      <c r="H753"/>
      <c r="I753" s="97"/>
      <c r="J753"/>
      <c r="K753"/>
    </row>
    <row r="754" spans="1:11" s="21" customFormat="1">
      <c r="A754"/>
      <c r="B754"/>
      <c r="F754"/>
      <c r="G754"/>
      <c r="H754"/>
      <c r="I754" s="97"/>
      <c r="J754"/>
      <c r="K754"/>
    </row>
    <row r="755" spans="1:11" s="21" customFormat="1">
      <c r="A755"/>
      <c r="B755"/>
      <c r="F755"/>
      <c r="G755"/>
      <c r="H755"/>
      <c r="I755" s="97"/>
      <c r="J755"/>
      <c r="K755"/>
    </row>
    <row r="756" spans="1:11" s="21" customFormat="1">
      <c r="A756"/>
      <c r="B756"/>
      <c r="F756"/>
      <c r="G756"/>
      <c r="H756"/>
      <c r="I756" s="97"/>
      <c r="J756"/>
      <c r="K756"/>
    </row>
    <row r="757" spans="1:11" s="21" customFormat="1">
      <c r="A757"/>
      <c r="B757"/>
      <c r="F757"/>
      <c r="G757"/>
      <c r="H757"/>
      <c r="I757" s="97"/>
      <c r="J757"/>
      <c r="K757"/>
    </row>
    <row r="758" spans="1:11" s="21" customFormat="1">
      <c r="A758"/>
      <c r="B758"/>
      <c r="F758"/>
      <c r="G758"/>
      <c r="H758"/>
      <c r="I758" s="97"/>
      <c r="J758"/>
      <c r="K758"/>
    </row>
    <row r="759" spans="1:11" s="21" customFormat="1">
      <c r="A759"/>
      <c r="B759"/>
      <c r="F759"/>
      <c r="G759"/>
      <c r="H759"/>
      <c r="I759" s="97"/>
      <c r="J759"/>
      <c r="K759"/>
    </row>
    <row r="760" spans="1:11" s="21" customFormat="1">
      <c r="A760"/>
      <c r="B760"/>
      <c r="F760"/>
      <c r="G760"/>
      <c r="H760"/>
      <c r="I760" s="97"/>
      <c r="J760"/>
      <c r="K760"/>
    </row>
    <row r="761" spans="1:11" s="21" customFormat="1">
      <c r="A761"/>
      <c r="B761"/>
      <c r="F761"/>
      <c r="G761"/>
      <c r="H761"/>
      <c r="I761" s="97"/>
      <c r="J761"/>
      <c r="K761"/>
    </row>
    <row r="762" spans="1:11" s="21" customFormat="1">
      <c r="A762"/>
      <c r="B762"/>
      <c r="F762"/>
      <c r="G762"/>
      <c r="H762"/>
      <c r="I762" s="97"/>
      <c r="J762"/>
      <c r="K762"/>
    </row>
    <row r="763" spans="1:11" s="21" customFormat="1">
      <c r="A763"/>
      <c r="B763"/>
      <c r="F763"/>
      <c r="G763"/>
      <c r="H763"/>
      <c r="I763" s="97"/>
      <c r="J763"/>
      <c r="K763"/>
    </row>
    <row r="764" spans="1:11" s="21" customFormat="1">
      <c r="A764"/>
      <c r="B764"/>
      <c r="F764"/>
      <c r="G764"/>
      <c r="H764"/>
      <c r="I764" s="97"/>
      <c r="J764"/>
      <c r="K764"/>
    </row>
    <row r="765" spans="1:11" s="21" customFormat="1">
      <c r="A765"/>
      <c r="B765"/>
      <c r="F765"/>
      <c r="G765"/>
      <c r="H765"/>
      <c r="I765" s="97"/>
      <c r="J765"/>
      <c r="K765"/>
    </row>
    <row r="766" spans="1:11" s="21" customFormat="1">
      <c r="A766"/>
      <c r="B766"/>
      <c r="F766"/>
      <c r="G766"/>
      <c r="H766"/>
      <c r="I766" s="97"/>
      <c r="J766"/>
      <c r="K766"/>
    </row>
    <row r="767" spans="1:11" s="21" customFormat="1">
      <c r="A767"/>
      <c r="B767"/>
      <c r="F767"/>
      <c r="G767"/>
      <c r="H767"/>
      <c r="I767" s="97"/>
      <c r="J767"/>
      <c r="K767"/>
    </row>
    <row r="768" spans="1:11" s="21" customFormat="1">
      <c r="A768"/>
      <c r="B768"/>
      <c r="F768"/>
      <c r="G768"/>
      <c r="H768"/>
      <c r="I768" s="97"/>
      <c r="J768"/>
      <c r="K768"/>
    </row>
    <row r="769" spans="1:11" s="21" customFormat="1">
      <c r="A769"/>
      <c r="B769"/>
      <c r="F769"/>
      <c r="G769"/>
      <c r="H769"/>
      <c r="I769" s="97"/>
      <c r="J769"/>
      <c r="K769"/>
    </row>
    <row r="770" spans="1:11" s="21" customFormat="1">
      <c r="A770"/>
      <c r="B770"/>
      <c r="F770"/>
      <c r="G770"/>
      <c r="H770"/>
      <c r="I770" s="97"/>
      <c r="J770"/>
      <c r="K770"/>
    </row>
    <row r="771" spans="1:11" s="21" customFormat="1">
      <c r="A771"/>
      <c r="B771"/>
      <c r="F771"/>
      <c r="G771"/>
      <c r="H771"/>
      <c r="I771" s="97"/>
      <c r="J771"/>
      <c r="K771"/>
    </row>
    <row r="772" spans="1:11" s="21" customFormat="1">
      <c r="A772"/>
      <c r="B772"/>
      <c r="F772"/>
      <c r="G772"/>
      <c r="H772"/>
      <c r="I772" s="97"/>
      <c r="J772"/>
      <c r="K772"/>
    </row>
    <row r="773" spans="1:11" s="21" customFormat="1">
      <c r="A773"/>
      <c r="B773"/>
      <c r="F773"/>
      <c r="G773"/>
      <c r="H773"/>
      <c r="I773" s="97"/>
      <c r="J773"/>
      <c r="K773"/>
    </row>
    <row r="774" spans="1:11" s="21" customFormat="1">
      <c r="A774"/>
      <c r="B774"/>
      <c r="F774"/>
      <c r="G774"/>
      <c r="H774"/>
      <c r="I774" s="97"/>
      <c r="J774"/>
      <c r="K774"/>
    </row>
    <row r="775" spans="1:11" s="21" customFormat="1">
      <c r="A775"/>
      <c r="B775"/>
      <c r="F775"/>
      <c r="G775"/>
      <c r="H775"/>
      <c r="I775" s="97"/>
      <c r="J775"/>
      <c r="K775"/>
    </row>
    <row r="776" spans="1:11" s="21" customFormat="1">
      <c r="A776"/>
      <c r="B776"/>
      <c r="F776"/>
      <c r="G776"/>
      <c r="H776"/>
      <c r="I776" s="97"/>
      <c r="J776"/>
      <c r="K776"/>
    </row>
    <row r="777" spans="1:11" s="21" customFormat="1">
      <c r="A777"/>
      <c r="B777"/>
      <c r="F777"/>
      <c r="G777"/>
      <c r="H777"/>
      <c r="I777" s="97"/>
      <c r="J777"/>
      <c r="K777"/>
    </row>
    <row r="778" spans="1:11" s="21" customFormat="1">
      <c r="A778"/>
      <c r="B778"/>
      <c r="F778"/>
      <c r="G778"/>
      <c r="H778"/>
      <c r="I778" s="97"/>
      <c r="J778"/>
      <c r="K778"/>
    </row>
    <row r="779" spans="1:11" s="21" customFormat="1">
      <c r="A779"/>
      <c r="B779"/>
      <c r="F779"/>
      <c r="G779"/>
      <c r="H779"/>
      <c r="I779" s="97"/>
      <c r="J779"/>
      <c r="K779"/>
    </row>
    <row r="780" spans="1:11" s="21" customFormat="1">
      <c r="A780"/>
      <c r="B780"/>
      <c r="F780"/>
      <c r="G780"/>
      <c r="H780"/>
      <c r="I780" s="97"/>
      <c r="J780"/>
      <c r="K780"/>
    </row>
    <row r="781" spans="1:11" s="21" customFormat="1">
      <c r="A781"/>
      <c r="B781"/>
      <c r="F781"/>
      <c r="G781"/>
      <c r="H781"/>
      <c r="I781" s="97"/>
      <c r="J781"/>
      <c r="K781"/>
    </row>
    <row r="782" spans="1:11" s="21" customFormat="1">
      <c r="A782"/>
      <c r="B782"/>
      <c r="F782"/>
      <c r="G782"/>
      <c r="H782"/>
      <c r="I782" s="97"/>
      <c r="J782"/>
      <c r="K782"/>
    </row>
    <row r="783" spans="1:11" s="21" customFormat="1">
      <c r="A783"/>
      <c r="B783"/>
      <c r="F783"/>
      <c r="G783"/>
      <c r="H783"/>
      <c r="I783" s="97"/>
      <c r="J783"/>
      <c r="K783"/>
    </row>
    <row r="784" spans="1:11" s="21" customFormat="1">
      <c r="A784"/>
      <c r="B784"/>
      <c r="F784"/>
      <c r="G784"/>
      <c r="H784"/>
      <c r="I784" s="97"/>
      <c r="J784"/>
      <c r="K784"/>
    </row>
    <row r="785" spans="1:11" s="21" customFormat="1">
      <c r="A785"/>
      <c r="B785"/>
      <c r="F785"/>
      <c r="G785"/>
      <c r="H785"/>
      <c r="I785" s="97"/>
      <c r="J785"/>
      <c r="K785"/>
    </row>
    <row r="786" spans="1:11" s="21" customFormat="1">
      <c r="A786"/>
      <c r="B786"/>
      <c r="F786"/>
      <c r="G786"/>
      <c r="H786"/>
      <c r="I786" s="97"/>
      <c r="J786"/>
      <c r="K786"/>
    </row>
    <row r="787" spans="1:11" s="21" customFormat="1">
      <c r="A787"/>
      <c r="B787"/>
      <c r="F787"/>
      <c r="G787"/>
      <c r="H787"/>
      <c r="I787" s="97"/>
      <c r="J787"/>
      <c r="K787"/>
    </row>
    <row r="788" spans="1:11" s="21" customFormat="1">
      <c r="A788"/>
      <c r="B788"/>
      <c r="F788"/>
      <c r="G788"/>
      <c r="H788"/>
      <c r="I788" s="97"/>
      <c r="J788"/>
      <c r="K788"/>
    </row>
    <row r="789" spans="1:11" s="21" customFormat="1">
      <c r="A789"/>
      <c r="B789"/>
      <c r="F789"/>
      <c r="G789"/>
      <c r="H789"/>
      <c r="I789" s="97"/>
      <c r="J789"/>
      <c r="K789"/>
    </row>
    <row r="790" spans="1:11" s="21" customFormat="1">
      <c r="A790"/>
      <c r="B790"/>
      <c r="F790"/>
      <c r="G790"/>
      <c r="H790"/>
      <c r="I790" s="97"/>
      <c r="J790"/>
      <c r="K790"/>
    </row>
    <row r="791" spans="1:11" s="21" customFormat="1">
      <c r="A791"/>
      <c r="B791"/>
      <c r="F791"/>
      <c r="G791"/>
      <c r="H791"/>
      <c r="I791" s="97"/>
      <c r="J791"/>
      <c r="K791"/>
    </row>
    <row r="792" spans="1:11" s="21" customFormat="1">
      <c r="A792"/>
      <c r="B792"/>
      <c r="F792"/>
      <c r="G792"/>
      <c r="H792"/>
      <c r="I792" s="97"/>
      <c r="J792"/>
      <c r="K792"/>
    </row>
    <row r="793" spans="1:11" s="21" customFormat="1">
      <c r="A793"/>
      <c r="B793"/>
      <c r="F793"/>
      <c r="G793"/>
      <c r="H793"/>
      <c r="I793" s="97"/>
      <c r="J793"/>
      <c r="K793"/>
    </row>
    <row r="794" spans="1:11" s="21" customFormat="1">
      <c r="A794"/>
      <c r="B794"/>
      <c r="F794"/>
      <c r="G794"/>
      <c r="H794"/>
      <c r="I794" s="97"/>
      <c r="J794"/>
      <c r="K794"/>
    </row>
    <row r="795" spans="1:11" s="21" customFormat="1">
      <c r="A795"/>
      <c r="B795"/>
      <c r="F795"/>
      <c r="G795"/>
      <c r="H795"/>
      <c r="I795" s="97"/>
      <c r="J795"/>
      <c r="K795"/>
    </row>
    <row r="796" spans="1:11" s="21" customFormat="1">
      <c r="A796"/>
      <c r="B796"/>
      <c r="F796"/>
      <c r="G796"/>
      <c r="H796"/>
      <c r="I796" s="97"/>
      <c r="J796"/>
      <c r="K796"/>
    </row>
    <row r="797" spans="1:11" s="21" customFormat="1">
      <c r="A797"/>
      <c r="B797"/>
      <c r="F797"/>
      <c r="G797"/>
      <c r="H797"/>
      <c r="I797" s="97"/>
      <c r="J797"/>
      <c r="K797"/>
    </row>
    <row r="798" spans="1:11" s="21" customFormat="1">
      <c r="A798"/>
      <c r="B798"/>
      <c r="F798"/>
      <c r="G798"/>
      <c r="H798"/>
      <c r="I798" s="97"/>
      <c r="J798"/>
      <c r="K798"/>
    </row>
    <row r="799" spans="1:11" s="21" customFormat="1">
      <c r="A799"/>
      <c r="B799"/>
      <c r="F799"/>
      <c r="G799"/>
      <c r="H799"/>
      <c r="I799" s="97"/>
      <c r="J799"/>
      <c r="K799"/>
    </row>
    <row r="800" spans="1:11" s="21" customFormat="1">
      <c r="A800"/>
      <c r="B800"/>
      <c r="F800"/>
      <c r="G800"/>
      <c r="H800"/>
      <c r="I800" s="97"/>
      <c r="J800"/>
      <c r="K800"/>
    </row>
    <row r="801" spans="1:11" s="21" customFormat="1">
      <c r="A801"/>
      <c r="B801"/>
      <c r="F801"/>
      <c r="G801"/>
      <c r="H801"/>
      <c r="I801" s="97"/>
      <c r="J801"/>
      <c r="K801"/>
    </row>
    <row r="802" spans="1:11" s="21" customFormat="1">
      <c r="A802"/>
      <c r="B802"/>
      <c r="F802"/>
      <c r="G802"/>
      <c r="H802"/>
      <c r="I802" s="97"/>
      <c r="J802"/>
      <c r="K802"/>
    </row>
    <row r="803" spans="1:11" s="21" customFormat="1">
      <c r="A803"/>
      <c r="B803"/>
      <c r="F803"/>
      <c r="G803"/>
      <c r="H803"/>
      <c r="I803" s="97"/>
      <c r="J803"/>
      <c r="K803"/>
    </row>
    <row r="804" spans="1:11" s="21" customFormat="1">
      <c r="A804"/>
      <c r="B804"/>
      <c r="F804"/>
      <c r="G804"/>
      <c r="H804"/>
      <c r="I804" s="97"/>
      <c r="J804"/>
      <c r="K804"/>
    </row>
    <row r="805" spans="1:11" s="21" customFormat="1">
      <c r="A805"/>
      <c r="B805"/>
      <c r="F805"/>
      <c r="G805"/>
      <c r="H805"/>
      <c r="I805" s="97"/>
      <c r="J805"/>
      <c r="K805"/>
    </row>
    <row r="806" spans="1:11" s="21" customFormat="1">
      <c r="A806"/>
      <c r="B806"/>
      <c r="F806"/>
      <c r="G806"/>
      <c r="H806"/>
      <c r="I806" s="97"/>
      <c r="J806"/>
      <c r="K806"/>
    </row>
    <row r="807" spans="1:11" s="21" customFormat="1">
      <c r="A807"/>
      <c r="B807"/>
      <c r="F807"/>
      <c r="G807"/>
      <c r="H807"/>
      <c r="I807" s="97"/>
      <c r="J807"/>
      <c r="K807"/>
    </row>
    <row r="808" spans="1:11" s="21" customFormat="1">
      <c r="A808"/>
      <c r="B808"/>
      <c r="F808"/>
      <c r="G808"/>
      <c r="H808"/>
      <c r="I808" s="97"/>
      <c r="J808"/>
      <c r="K808"/>
    </row>
    <row r="809" spans="1:11" s="21" customFormat="1">
      <c r="A809"/>
      <c r="B809"/>
      <c r="F809"/>
      <c r="G809"/>
      <c r="H809"/>
      <c r="I809" s="97"/>
      <c r="J809"/>
      <c r="K809"/>
    </row>
    <row r="810" spans="1:11" s="21" customFormat="1">
      <c r="A810"/>
      <c r="B810"/>
      <c r="F810"/>
      <c r="G810"/>
      <c r="H810"/>
      <c r="I810" s="97"/>
      <c r="J810"/>
      <c r="K810"/>
    </row>
    <row r="811" spans="1:11" s="21" customFormat="1">
      <c r="A811"/>
      <c r="B811"/>
      <c r="F811"/>
      <c r="G811"/>
      <c r="H811"/>
      <c r="I811" s="97"/>
      <c r="J811"/>
      <c r="K811"/>
    </row>
    <row r="812" spans="1:11" s="21" customFormat="1">
      <c r="A812"/>
      <c r="B812"/>
      <c r="F812"/>
      <c r="G812"/>
      <c r="H812"/>
      <c r="I812" s="97"/>
      <c r="J812"/>
      <c r="K812"/>
    </row>
    <row r="813" spans="1:11" s="21" customFormat="1">
      <c r="A813"/>
      <c r="B813"/>
      <c r="F813"/>
      <c r="G813"/>
      <c r="H813"/>
      <c r="I813" s="97"/>
      <c r="J813"/>
      <c r="K813"/>
    </row>
    <row r="814" spans="1:11" s="21" customFormat="1">
      <c r="A814"/>
      <c r="B814"/>
      <c r="F814"/>
      <c r="G814"/>
      <c r="H814"/>
      <c r="I814" s="97"/>
      <c r="J814"/>
      <c r="K814"/>
    </row>
    <row r="815" spans="1:11" s="21" customFormat="1">
      <c r="A815"/>
      <c r="B815"/>
      <c r="F815"/>
      <c r="G815"/>
      <c r="H815"/>
      <c r="I815" s="97"/>
      <c r="J815"/>
      <c r="K815"/>
    </row>
    <row r="816" spans="1:11" s="21" customFormat="1">
      <c r="A816"/>
      <c r="B816"/>
      <c r="F816"/>
      <c r="G816"/>
      <c r="H816"/>
      <c r="I816" s="97"/>
      <c r="J816"/>
      <c r="K816"/>
    </row>
    <row r="817" spans="1:11" s="21" customFormat="1">
      <c r="A817"/>
      <c r="B817"/>
      <c r="F817"/>
      <c r="G817"/>
      <c r="H817"/>
      <c r="I817" s="97"/>
      <c r="J817"/>
      <c r="K817"/>
    </row>
    <row r="818" spans="1:11" s="21" customFormat="1">
      <c r="A818"/>
      <c r="B818"/>
      <c r="F818"/>
      <c r="G818"/>
      <c r="H818"/>
      <c r="I818" s="97"/>
      <c r="J818"/>
      <c r="K818"/>
    </row>
    <row r="819" spans="1:11" s="21" customFormat="1">
      <c r="A819"/>
      <c r="B819"/>
      <c r="F819"/>
      <c r="G819"/>
      <c r="H819"/>
      <c r="I819" s="97"/>
      <c r="J819"/>
      <c r="K819"/>
    </row>
    <row r="820" spans="1:11" s="21" customFormat="1">
      <c r="A820"/>
      <c r="B820"/>
      <c r="F820"/>
      <c r="G820"/>
      <c r="H820"/>
      <c r="I820" s="97"/>
      <c r="J820"/>
      <c r="K820"/>
    </row>
    <row r="821" spans="1:11" s="21" customFormat="1">
      <c r="A821"/>
      <c r="B821"/>
      <c r="F821"/>
      <c r="G821"/>
      <c r="H821"/>
      <c r="I821" s="97"/>
      <c r="J821"/>
      <c r="K821"/>
    </row>
    <row r="822" spans="1:11" s="21" customFormat="1">
      <c r="A822"/>
      <c r="B822"/>
      <c r="F822"/>
      <c r="G822"/>
      <c r="H822"/>
      <c r="I822" s="97"/>
      <c r="J822"/>
      <c r="K822"/>
    </row>
    <row r="823" spans="1:11" s="21" customFormat="1">
      <c r="A823"/>
      <c r="B823"/>
      <c r="F823"/>
      <c r="G823"/>
      <c r="H823"/>
      <c r="I823" s="97"/>
      <c r="J823"/>
      <c r="K823"/>
    </row>
    <row r="824" spans="1:11" s="21" customFormat="1">
      <c r="A824"/>
      <c r="B824"/>
      <c r="F824"/>
      <c r="G824"/>
      <c r="H824"/>
      <c r="I824" s="97"/>
      <c r="J824"/>
      <c r="K824"/>
    </row>
    <row r="825" spans="1:11" s="21" customFormat="1">
      <c r="A825"/>
      <c r="B825"/>
      <c r="F825"/>
      <c r="G825"/>
      <c r="H825"/>
      <c r="I825" s="97"/>
      <c r="J825"/>
      <c r="K825"/>
    </row>
    <row r="826" spans="1:11" s="21" customFormat="1">
      <c r="A826"/>
      <c r="B826"/>
      <c r="F826"/>
      <c r="G826"/>
      <c r="H826"/>
      <c r="I826" s="97"/>
      <c r="J826"/>
      <c r="K826"/>
    </row>
    <row r="827" spans="1:11" s="21" customFormat="1">
      <c r="A827"/>
      <c r="B827"/>
      <c r="F827"/>
      <c r="G827"/>
      <c r="H827"/>
      <c r="I827" s="97"/>
      <c r="J827"/>
      <c r="K827"/>
    </row>
    <row r="828" spans="1:11" s="21" customFormat="1">
      <c r="A828"/>
      <c r="B828"/>
      <c r="F828"/>
      <c r="G828"/>
      <c r="H828"/>
      <c r="I828" s="97"/>
      <c r="J828"/>
      <c r="K828"/>
    </row>
    <row r="829" spans="1:11" s="21" customFormat="1">
      <c r="A829"/>
      <c r="B829"/>
      <c r="F829"/>
      <c r="G829"/>
      <c r="H829"/>
      <c r="I829" s="97"/>
      <c r="J829"/>
      <c r="K829"/>
    </row>
    <row r="830" spans="1:11" s="21" customFormat="1">
      <c r="A830"/>
      <c r="B830"/>
      <c r="F830"/>
      <c r="G830"/>
      <c r="H830"/>
      <c r="I830" s="97"/>
      <c r="J830"/>
      <c r="K830"/>
    </row>
    <row r="831" spans="1:11" s="21" customFormat="1">
      <c r="A831"/>
      <c r="B831"/>
      <c r="F831"/>
      <c r="G831"/>
      <c r="H831"/>
      <c r="I831" s="97"/>
      <c r="J831"/>
      <c r="K831"/>
    </row>
    <row r="832" spans="1:11" s="21" customFormat="1">
      <c r="A832"/>
      <c r="B832"/>
      <c r="F832"/>
      <c r="G832"/>
      <c r="H832"/>
      <c r="I832" s="97"/>
      <c r="J832"/>
      <c r="K832"/>
    </row>
    <row r="833" spans="1:11" s="21" customFormat="1">
      <c r="A833"/>
      <c r="B833"/>
      <c r="F833"/>
      <c r="G833"/>
      <c r="H833"/>
      <c r="I833" s="97"/>
      <c r="J833"/>
      <c r="K833"/>
    </row>
    <row r="834" spans="1:11" s="21" customFormat="1">
      <c r="A834"/>
      <c r="B834"/>
      <c r="F834"/>
      <c r="G834"/>
      <c r="H834"/>
      <c r="I834" s="97"/>
      <c r="J834"/>
      <c r="K834"/>
    </row>
    <row r="835" spans="1:11" s="21" customFormat="1">
      <c r="A835"/>
      <c r="B835"/>
      <c r="F835"/>
      <c r="G835"/>
      <c r="H835"/>
      <c r="I835" s="97"/>
      <c r="J835"/>
      <c r="K835"/>
    </row>
    <row r="836" spans="1:11" s="21" customFormat="1">
      <c r="A836"/>
      <c r="B836"/>
      <c r="F836"/>
      <c r="G836"/>
      <c r="H836"/>
      <c r="I836" s="97"/>
      <c r="J836"/>
      <c r="K836"/>
    </row>
    <row r="837" spans="1:11" s="21" customFormat="1">
      <c r="A837"/>
      <c r="B837"/>
      <c r="F837"/>
      <c r="G837"/>
      <c r="H837"/>
      <c r="I837" s="97"/>
      <c r="J837"/>
      <c r="K837"/>
    </row>
    <row r="838" spans="1:11" s="21" customFormat="1">
      <c r="A838"/>
      <c r="B838"/>
      <c r="F838"/>
      <c r="G838"/>
      <c r="H838"/>
      <c r="I838" s="97"/>
      <c r="J838"/>
      <c r="K838"/>
    </row>
    <row r="839" spans="1:11" s="21" customFormat="1">
      <c r="A839"/>
      <c r="B839"/>
      <c r="F839"/>
      <c r="G839"/>
      <c r="H839"/>
      <c r="I839" s="97"/>
      <c r="J839"/>
      <c r="K839"/>
    </row>
    <row r="840" spans="1:11" s="21" customFormat="1">
      <c r="A840"/>
      <c r="B840"/>
      <c r="F840"/>
      <c r="G840"/>
      <c r="H840"/>
      <c r="I840" s="97"/>
      <c r="J840"/>
      <c r="K840"/>
    </row>
    <row r="841" spans="1:11" s="21" customFormat="1">
      <c r="A841"/>
      <c r="B841"/>
      <c r="F841"/>
      <c r="G841"/>
      <c r="H841"/>
      <c r="I841" s="97"/>
      <c r="J841"/>
      <c r="K841"/>
    </row>
    <row r="842" spans="1:11" s="21" customFormat="1">
      <c r="A842"/>
      <c r="B842"/>
      <c r="F842"/>
      <c r="G842"/>
      <c r="H842"/>
      <c r="I842" s="97"/>
      <c r="J842"/>
      <c r="K842"/>
    </row>
    <row r="843" spans="1:11" s="21" customFormat="1">
      <c r="A843"/>
      <c r="B843"/>
      <c r="F843"/>
      <c r="G843"/>
      <c r="H843"/>
      <c r="I843" s="97"/>
      <c r="J843"/>
      <c r="K843"/>
    </row>
    <row r="844" spans="1:11" s="21" customFormat="1">
      <c r="A844"/>
      <c r="B844"/>
      <c r="F844"/>
      <c r="G844"/>
      <c r="H844"/>
      <c r="I844" s="97"/>
      <c r="J844"/>
      <c r="K844"/>
    </row>
    <row r="845" spans="1:11" s="21" customFormat="1">
      <c r="A845"/>
      <c r="B845"/>
      <c r="F845"/>
      <c r="G845"/>
      <c r="H845"/>
      <c r="I845" s="97"/>
      <c r="J845"/>
      <c r="K845"/>
    </row>
    <row r="846" spans="1:11" s="21" customFormat="1">
      <c r="A846"/>
      <c r="B846"/>
      <c r="F846"/>
      <c r="G846"/>
      <c r="H846"/>
      <c r="I846" s="97"/>
      <c r="J846"/>
      <c r="K846"/>
    </row>
    <row r="847" spans="1:11" s="21" customFormat="1">
      <c r="A847"/>
      <c r="B847"/>
      <c r="F847"/>
      <c r="G847"/>
      <c r="H847"/>
      <c r="I847" s="97"/>
      <c r="J847"/>
      <c r="K847"/>
    </row>
    <row r="848" spans="1:11" s="21" customFormat="1">
      <c r="A848"/>
      <c r="B848"/>
      <c r="F848"/>
      <c r="G848"/>
      <c r="H848"/>
      <c r="I848" s="97"/>
      <c r="J848"/>
      <c r="K848"/>
    </row>
    <row r="849" spans="1:11" s="21" customFormat="1">
      <c r="A849"/>
      <c r="B849"/>
      <c r="F849"/>
      <c r="G849"/>
      <c r="H849"/>
      <c r="I849" s="97"/>
      <c r="J849"/>
      <c r="K849"/>
    </row>
    <row r="850" spans="1:11" s="21" customFormat="1">
      <c r="A850"/>
      <c r="B850"/>
      <c r="F850"/>
      <c r="G850"/>
      <c r="H850"/>
      <c r="I850" s="97"/>
      <c r="J850"/>
      <c r="K850"/>
    </row>
    <row r="851" spans="1:11" s="21" customFormat="1">
      <c r="A851"/>
      <c r="B851"/>
      <c r="F851"/>
      <c r="G851"/>
      <c r="H851"/>
      <c r="I851" s="97"/>
      <c r="J851"/>
      <c r="K851"/>
    </row>
    <row r="852" spans="1:11" s="21" customFormat="1">
      <c r="A852"/>
      <c r="B852"/>
      <c r="F852"/>
      <c r="G852"/>
      <c r="H852"/>
      <c r="I852" s="97"/>
      <c r="J852"/>
      <c r="K852"/>
    </row>
    <row r="853" spans="1:11" s="21" customFormat="1">
      <c r="A853"/>
      <c r="B853"/>
      <c r="F853"/>
      <c r="G853"/>
      <c r="H853"/>
      <c r="I853" s="97"/>
      <c r="J853"/>
      <c r="K853"/>
    </row>
    <row r="854" spans="1:11" s="21" customFormat="1">
      <c r="A854"/>
      <c r="B854"/>
      <c r="F854"/>
      <c r="G854"/>
      <c r="H854"/>
      <c r="I854" s="97"/>
      <c r="J854"/>
      <c r="K854"/>
    </row>
    <row r="855" spans="1:11" s="21" customFormat="1">
      <c r="A855"/>
      <c r="B855"/>
      <c r="F855"/>
      <c r="G855"/>
      <c r="H855"/>
      <c r="I855" s="97"/>
      <c r="J855"/>
      <c r="K855"/>
    </row>
    <row r="856" spans="1:11" s="21" customFormat="1">
      <c r="A856"/>
      <c r="B856"/>
      <c r="F856"/>
      <c r="G856"/>
      <c r="H856"/>
      <c r="I856" s="97"/>
      <c r="J856"/>
      <c r="K856"/>
    </row>
    <row r="857" spans="1:11" s="21" customFormat="1">
      <c r="A857"/>
      <c r="B857"/>
      <c r="F857"/>
      <c r="G857"/>
      <c r="H857"/>
      <c r="I857" s="97"/>
      <c r="J857"/>
      <c r="K857"/>
    </row>
    <row r="858" spans="1:11" s="21" customFormat="1">
      <c r="A858"/>
      <c r="B858"/>
      <c r="F858"/>
      <c r="G858"/>
      <c r="H858"/>
      <c r="I858" s="97"/>
      <c r="J858"/>
      <c r="K858"/>
    </row>
    <row r="859" spans="1:11" s="21" customFormat="1">
      <c r="A859"/>
      <c r="B859"/>
      <c r="F859"/>
      <c r="G859"/>
      <c r="H859"/>
      <c r="I859" s="97"/>
      <c r="J859"/>
      <c r="K859"/>
    </row>
    <row r="860" spans="1:11" s="21" customFormat="1">
      <c r="A860"/>
      <c r="B860"/>
      <c r="F860"/>
      <c r="G860"/>
      <c r="H860"/>
      <c r="I860" s="97"/>
      <c r="J860"/>
      <c r="K860"/>
    </row>
    <row r="861" spans="1:11" s="21" customFormat="1">
      <c r="A861"/>
      <c r="B861"/>
      <c r="F861"/>
      <c r="G861"/>
      <c r="H861"/>
      <c r="I861" s="97"/>
      <c r="J861"/>
      <c r="K861"/>
    </row>
    <row r="862" spans="1:11" s="21" customFormat="1">
      <c r="A862"/>
      <c r="B862"/>
      <c r="F862"/>
      <c r="G862"/>
      <c r="H862"/>
      <c r="I862" s="97"/>
      <c r="J862"/>
      <c r="K862"/>
    </row>
    <row r="863" spans="1:11" s="21" customFormat="1">
      <c r="A863"/>
      <c r="B863"/>
      <c r="F863"/>
      <c r="G863"/>
      <c r="H863"/>
      <c r="I863" s="97"/>
      <c r="J863"/>
      <c r="K863"/>
    </row>
    <row r="864" spans="1:11" s="21" customFormat="1">
      <c r="A864"/>
      <c r="B864"/>
      <c r="F864"/>
      <c r="G864"/>
      <c r="H864"/>
      <c r="I864" s="97"/>
      <c r="J864"/>
      <c r="K864"/>
    </row>
    <row r="865" spans="1:11" s="21" customFormat="1">
      <c r="A865"/>
      <c r="B865"/>
      <c r="F865"/>
      <c r="G865"/>
      <c r="H865"/>
      <c r="I865" s="97"/>
      <c r="J865"/>
      <c r="K865"/>
    </row>
    <row r="866" spans="1:11" s="21" customFormat="1">
      <c r="A866"/>
      <c r="B866"/>
      <c r="F866"/>
      <c r="G866"/>
      <c r="H866"/>
      <c r="I866" s="97"/>
      <c r="J866"/>
      <c r="K866"/>
    </row>
    <row r="867" spans="1:11" s="21" customFormat="1">
      <c r="A867"/>
      <c r="B867"/>
      <c r="F867"/>
      <c r="G867"/>
      <c r="H867"/>
      <c r="I867" s="97"/>
      <c r="J867"/>
      <c r="K867"/>
    </row>
    <row r="868" spans="1:11" s="21" customFormat="1">
      <c r="A868"/>
      <c r="B868"/>
      <c r="F868"/>
      <c r="G868"/>
      <c r="H868"/>
      <c r="I868" s="97"/>
      <c r="J868"/>
      <c r="K868"/>
    </row>
    <row r="869" spans="1:11" s="21" customFormat="1">
      <c r="A869"/>
      <c r="B869"/>
      <c r="F869"/>
      <c r="G869"/>
      <c r="H869"/>
      <c r="I869" s="97"/>
      <c r="J869"/>
      <c r="K869"/>
    </row>
    <row r="870" spans="1:11" s="21" customFormat="1">
      <c r="A870"/>
      <c r="B870"/>
      <c r="F870"/>
      <c r="G870"/>
      <c r="H870"/>
      <c r="I870" s="97"/>
      <c r="J870"/>
      <c r="K870"/>
    </row>
    <row r="871" spans="1:11" s="21" customFormat="1">
      <c r="A871"/>
      <c r="B871"/>
      <c r="F871"/>
      <c r="G871"/>
      <c r="H871"/>
      <c r="I871" s="97"/>
      <c r="J871"/>
      <c r="K871"/>
    </row>
    <row r="872" spans="1:11" s="21" customFormat="1">
      <c r="A872"/>
      <c r="B872"/>
      <c r="F872"/>
      <c r="G872"/>
      <c r="H872"/>
      <c r="I872" s="97"/>
      <c r="J872"/>
      <c r="K872"/>
    </row>
    <row r="873" spans="1:11" s="21" customFormat="1">
      <c r="A873"/>
      <c r="B873"/>
      <c r="F873"/>
      <c r="G873"/>
      <c r="H873"/>
      <c r="I873" s="97"/>
      <c r="J873"/>
      <c r="K873"/>
    </row>
    <row r="874" spans="1:11" s="21" customFormat="1">
      <c r="A874"/>
      <c r="B874"/>
      <c r="F874"/>
      <c r="G874"/>
      <c r="H874"/>
      <c r="I874" s="97"/>
      <c r="J874"/>
      <c r="K874"/>
    </row>
    <row r="875" spans="1:11" s="21" customFormat="1">
      <c r="A875"/>
      <c r="B875"/>
      <c r="F875"/>
      <c r="G875"/>
      <c r="H875"/>
      <c r="I875" s="97"/>
      <c r="J875"/>
      <c r="K875"/>
    </row>
    <row r="876" spans="1:11" s="21" customFormat="1">
      <c r="A876"/>
      <c r="B876"/>
      <c r="F876"/>
      <c r="G876"/>
      <c r="H876"/>
      <c r="I876" s="97"/>
      <c r="J876"/>
      <c r="K876"/>
    </row>
    <row r="877" spans="1:11" s="21" customFormat="1">
      <c r="A877"/>
      <c r="B877"/>
      <c r="F877"/>
      <c r="G877"/>
      <c r="H877"/>
      <c r="I877" s="97"/>
      <c r="J877"/>
      <c r="K877"/>
    </row>
    <row r="878" spans="1:11" s="21" customFormat="1">
      <c r="A878"/>
      <c r="B878"/>
      <c r="F878"/>
      <c r="G878"/>
      <c r="H878"/>
      <c r="I878" s="97"/>
      <c r="J878"/>
      <c r="K878"/>
    </row>
    <row r="879" spans="1:11" s="21" customFormat="1">
      <c r="A879"/>
      <c r="B879"/>
      <c r="F879"/>
      <c r="G879"/>
      <c r="H879"/>
      <c r="I879" s="97"/>
      <c r="J879"/>
      <c r="K879"/>
    </row>
    <row r="880" spans="1:11" s="21" customFormat="1">
      <c r="A880"/>
      <c r="B880"/>
      <c r="F880"/>
      <c r="G880"/>
      <c r="H880"/>
      <c r="I880" s="97"/>
      <c r="J880"/>
      <c r="K880"/>
    </row>
    <row r="881" spans="1:11" s="21" customFormat="1">
      <c r="A881"/>
      <c r="B881"/>
      <c r="F881"/>
      <c r="G881"/>
      <c r="H881"/>
      <c r="I881" s="97"/>
      <c r="J881"/>
      <c r="K881"/>
    </row>
    <row r="882" spans="1:11" s="21" customFormat="1">
      <c r="A882"/>
      <c r="B882"/>
      <c r="F882"/>
      <c r="G882"/>
      <c r="H882"/>
      <c r="I882" s="97"/>
      <c r="J882"/>
      <c r="K882"/>
    </row>
    <row r="883" spans="1:11" s="21" customFormat="1">
      <c r="A883"/>
      <c r="B883"/>
      <c r="F883"/>
      <c r="G883"/>
      <c r="H883"/>
      <c r="I883" s="97"/>
      <c r="J883"/>
      <c r="K883"/>
    </row>
    <row r="884" spans="1:11" s="21" customFormat="1">
      <c r="A884"/>
      <c r="B884"/>
      <c r="F884"/>
      <c r="G884"/>
      <c r="H884"/>
      <c r="I884" s="97"/>
      <c r="J884"/>
      <c r="K884"/>
    </row>
    <row r="885" spans="1:11" s="21" customFormat="1">
      <c r="A885"/>
      <c r="B885"/>
      <c r="F885"/>
      <c r="G885"/>
      <c r="H885"/>
      <c r="I885" s="97"/>
      <c r="J885"/>
      <c r="K885"/>
    </row>
    <row r="886" spans="1:11" s="21" customFormat="1">
      <c r="A886"/>
      <c r="B886"/>
      <c r="F886"/>
      <c r="G886"/>
      <c r="H886"/>
      <c r="I886" s="97"/>
      <c r="J886"/>
      <c r="K886"/>
    </row>
    <row r="887" spans="1:11" s="21" customFormat="1">
      <c r="A887"/>
      <c r="B887"/>
      <c r="F887"/>
      <c r="G887"/>
      <c r="H887"/>
      <c r="I887" s="97"/>
      <c r="J887"/>
      <c r="K887"/>
    </row>
    <row r="888" spans="1:11" s="21" customFormat="1">
      <c r="A888"/>
      <c r="B888"/>
      <c r="F888"/>
      <c r="G888"/>
      <c r="H888"/>
      <c r="I888" s="97"/>
      <c r="J888"/>
      <c r="K888"/>
    </row>
    <row r="889" spans="1:11" s="21" customFormat="1">
      <c r="A889"/>
      <c r="B889"/>
      <c r="F889"/>
      <c r="G889"/>
      <c r="H889"/>
      <c r="I889" s="97"/>
      <c r="J889"/>
      <c r="K889"/>
    </row>
    <row r="890" spans="1:11" s="21" customFormat="1">
      <c r="A890"/>
      <c r="B890"/>
      <c r="F890"/>
      <c r="G890"/>
      <c r="H890"/>
      <c r="I890" s="97"/>
      <c r="J890"/>
      <c r="K890"/>
    </row>
    <row r="891" spans="1:11" s="21" customFormat="1">
      <c r="A891"/>
      <c r="B891"/>
      <c r="F891"/>
      <c r="G891"/>
      <c r="H891"/>
      <c r="I891" s="97"/>
      <c r="J891"/>
      <c r="K891"/>
    </row>
    <row r="892" spans="1:11" s="21" customFormat="1">
      <c r="A892"/>
      <c r="B892"/>
      <c r="F892"/>
      <c r="G892"/>
      <c r="H892"/>
      <c r="I892" s="97"/>
      <c r="J892"/>
      <c r="K892"/>
    </row>
    <row r="893" spans="1:11" s="21" customFormat="1">
      <c r="A893"/>
      <c r="B893"/>
      <c r="F893"/>
      <c r="G893"/>
      <c r="H893"/>
      <c r="I893" s="97"/>
      <c r="J893"/>
      <c r="K893"/>
    </row>
    <row r="894" spans="1:11" s="21" customFormat="1">
      <c r="A894"/>
      <c r="B894"/>
      <c r="F894"/>
      <c r="G894"/>
      <c r="H894"/>
      <c r="I894" s="97"/>
      <c r="J894"/>
      <c r="K894"/>
    </row>
    <row r="895" spans="1:11" s="21" customFormat="1">
      <c r="A895"/>
      <c r="B895"/>
      <c r="F895"/>
      <c r="G895"/>
      <c r="H895"/>
      <c r="I895" s="97"/>
      <c r="J895"/>
      <c r="K895"/>
    </row>
    <row r="896" spans="1:11" s="21" customFormat="1">
      <c r="A896"/>
      <c r="B896"/>
      <c r="F896"/>
      <c r="G896"/>
      <c r="H896"/>
      <c r="I896" s="97"/>
      <c r="J896"/>
      <c r="K896"/>
    </row>
    <row r="897" spans="1:11" s="21" customFormat="1">
      <c r="A897"/>
      <c r="B897"/>
      <c r="F897"/>
      <c r="G897"/>
      <c r="H897"/>
      <c r="I897" s="97"/>
      <c r="J897"/>
      <c r="K897"/>
    </row>
    <row r="898" spans="1:11" s="21" customFormat="1">
      <c r="A898"/>
      <c r="B898"/>
      <c r="F898"/>
      <c r="G898"/>
      <c r="H898"/>
      <c r="I898" s="97"/>
      <c r="J898"/>
      <c r="K898"/>
    </row>
    <row r="899" spans="1:11" s="21" customFormat="1">
      <c r="A899"/>
      <c r="B899"/>
      <c r="F899"/>
      <c r="G899"/>
      <c r="H899"/>
      <c r="I899" s="97"/>
      <c r="J899"/>
      <c r="K899"/>
    </row>
    <row r="900" spans="1:11" s="21" customFormat="1">
      <c r="A900"/>
      <c r="B900"/>
      <c r="F900"/>
      <c r="G900"/>
      <c r="H900"/>
      <c r="I900" s="97"/>
      <c r="J900"/>
      <c r="K900"/>
    </row>
    <row r="901" spans="1:11" s="21" customFormat="1">
      <c r="A901"/>
      <c r="B901"/>
      <c r="F901"/>
      <c r="G901"/>
      <c r="H901"/>
      <c r="I901" s="97"/>
      <c r="J901"/>
      <c r="K901"/>
    </row>
    <row r="902" spans="1:11" s="21" customFormat="1">
      <c r="A902"/>
      <c r="B902"/>
      <c r="F902"/>
      <c r="G902"/>
      <c r="H902"/>
      <c r="I902" s="97"/>
      <c r="J902"/>
      <c r="K902"/>
    </row>
    <row r="903" spans="1:11" s="21" customFormat="1">
      <c r="A903"/>
      <c r="B903"/>
      <c r="F903"/>
      <c r="G903"/>
      <c r="H903"/>
      <c r="I903" s="97"/>
      <c r="J903"/>
      <c r="K903"/>
    </row>
    <row r="904" spans="1:11" s="21" customFormat="1">
      <c r="A904"/>
      <c r="B904"/>
      <c r="F904"/>
      <c r="G904"/>
      <c r="H904"/>
      <c r="I904" s="97"/>
      <c r="J904"/>
      <c r="K904"/>
    </row>
    <row r="905" spans="1:11" s="21" customFormat="1">
      <c r="A905"/>
      <c r="B905"/>
      <c r="F905"/>
      <c r="G905"/>
      <c r="H905"/>
      <c r="I905" s="97"/>
      <c r="J905"/>
      <c r="K905"/>
    </row>
    <row r="906" spans="1:11" s="21" customFormat="1">
      <c r="A906"/>
      <c r="B906"/>
      <c r="F906"/>
      <c r="G906"/>
      <c r="H906"/>
      <c r="I906" s="97"/>
      <c r="J906"/>
      <c r="K906"/>
    </row>
    <row r="907" spans="1:11" s="21" customFormat="1">
      <c r="A907"/>
      <c r="B907"/>
      <c r="F907"/>
      <c r="G907"/>
      <c r="H907"/>
      <c r="I907" s="97"/>
      <c r="J907"/>
      <c r="K907"/>
    </row>
    <row r="908" spans="1:11" s="21" customFormat="1">
      <c r="A908"/>
      <c r="B908"/>
      <c r="F908"/>
      <c r="G908"/>
      <c r="H908"/>
      <c r="I908" s="97"/>
      <c r="J908"/>
      <c r="K908"/>
    </row>
    <row r="909" spans="1:11" s="21" customFormat="1">
      <c r="A909"/>
      <c r="B909"/>
      <c r="F909"/>
      <c r="G909"/>
      <c r="H909"/>
      <c r="I909" s="97"/>
      <c r="J909"/>
      <c r="K909"/>
    </row>
    <row r="910" spans="1:11" s="21" customFormat="1">
      <c r="A910"/>
      <c r="B910"/>
      <c r="F910"/>
      <c r="G910"/>
      <c r="H910"/>
      <c r="I910" s="97"/>
      <c r="J910"/>
      <c r="K910"/>
    </row>
    <row r="911" spans="1:11" s="21" customFormat="1">
      <c r="A911"/>
      <c r="B911"/>
      <c r="F911"/>
      <c r="G911"/>
      <c r="H911"/>
      <c r="I911" s="97"/>
      <c r="J911"/>
      <c r="K911"/>
    </row>
    <row r="912" spans="1:11" s="21" customFormat="1">
      <c r="A912"/>
      <c r="B912"/>
      <c r="F912"/>
      <c r="G912"/>
      <c r="H912"/>
      <c r="I912" s="97"/>
      <c r="J912"/>
      <c r="K912"/>
    </row>
    <row r="913" spans="1:11" s="21" customFormat="1">
      <c r="A913"/>
      <c r="B913"/>
      <c r="F913"/>
      <c r="G913"/>
      <c r="H913"/>
      <c r="I913" s="97"/>
      <c r="J913"/>
      <c r="K913"/>
    </row>
    <row r="914" spans="1:11" s="21" customFormat="1">
      <c r="A914"/>
      <c r="B914"/>
      <c r="F914"/>
      <c r="G914"/>
      <c r="H914"/>
      <c r="I914" s="97"/>
      <c r="J914"/>
      <c r="K914"/>
    </row>
    <row r="915" spans="1:11" s="21" customFormat="1">
      <c r="A915"/>
      <c r="B915"/>
      <c r="F915"/>
      <c r="G915"/>
      <c r="H915"/>
      <c r="I915" s="97"/>
      <c r="J915"/>
      <c r="K915"/>
    </row>
    <row r="916" spans="1:11" s="21" customFormat="1">
      <c r="A916"/>
      <c r="B916"/>
      <c r="F916"/>
      <c r="G916"/>
      <c r="H916"/>
      <c r="I916" s="97"/>
      <c r="J916"/>
      <c r="K916"/>
    </row>
    <row r="917" spans="1:11" s="21" customFormat="1">
      <c r="A917"/>
      <c r="B917"/>
      <c r="F917"/>
      <c r="G917"/>
      <c r="H917"/>
      <c r="I917" s="97"/>
      <c r="J917"/>
      <c r="K917"/>
    </row>
    <row r="918" spans="1:11" s="21" customFormat="1">
      <c r="A918"/>
      <c r="B918"/>
      <c r="F918"/>
      <c r="G918"/>
      <c r="H918"/>
      <c r="I918" s="97"/>
      <c r="J918"/>
      <c r="K918"/>
    </row>
    <row r="919" spans="1:11" s="21" customFormat="1">
      <c r="A919"/>
      <c r="B919"/>
      <c r="F919"/>
      <c r="G919"/>
      <c r="H919"/>
      <c r="I919" s="97"/>
      <c r="J919"/>
      <c r="K919"/>
    </row>
    <row r="920" spans="1:11" s="21" customFormat="1">
      <c r="A920"/>
      <c r="B920"/>
      <c r="F920"/>
      <c r="G920"/>
      <c r="H920"/>
      <c r="I920" s="97"/>
      <c r="J920"/>
      <c r="K920"/>
    </row>
    <row r="921" spans="1:11" s="21" customFormat="1">
      <c r="A921"/>
      <c r="B921"/>
      <c r="F921"/>
      <c r="G921"/>
      <c r="H921"/>
      <c r="I921" s="97"/>
      <c r="J921"/>
      <c r="K921"/>
    </row>
    <row r="922" spans="1:11" s="21" customFormat="1">
      <c r="A922"/>
      <c r="B922"/>
      <c r="F922"/>
      <c r="G922"/>
      <c r="H922"/>
      <c r="I922" s="97"/>
      <c r="J922"/>
      <c r="K922"/>
    </row>
    <row r="923" spans="1:11" s="21" customFormat="1">
      <c r="A923"/>
      <c r="B923"/>
      <c r="F923"/>
      <c r="G923"/>
      <c r="H923"/>
      <c r="I923" s="97"/>
      <c r="J923"/>
      <c r="K923"/>
    </row>
    <row r="924" spans="1:11" s="21" customFormat="1">
      <c r="A924"/>
      <c r="B924"/>
      <c r="F924"/>
      <c r="G924"/>
      <c r="H924"/>
      <c r="I924" s="97"/>
      <c r="J924"/>
      <c r="K924"/>
    </row>
    <row r="925" spans="1:11" s="21" customFormat="1">
      <c r="A925"/>
      <c r="B925"/>
      <c r="F925"/>
      <c r="G925"/>
      <c r="H925"/>
      <c r="I925" s="97"/>
      <c r="J925"/>
      <c r="K925"/>
    </row>
    <row r="926" spans="1:11" s="21" customFormat="1">
      <c r="A926"/>
      <c r="B926"/>
      <c r="F926"/>
      <c r="G926"/>
      <c r="H926"/>
      <c r="I926" s="97"/>
      <c r="J926"/>
      <c r="K926"/>
    </row>
    <row r="927" spans="1:11" s="21" customFormat="1">
      <c r="A927"/>
      <c r="B927"/>
      <c r="F927"/>
      <c r="G927"/>
      <c r="H927"/>
      <c r="I927" s="97"/>
      <c r="J927"/>
      <c r="K927"/>
    </row>
    <row r="928" spans="1:11" s="21" customFormat="1">
      <c r="A928"/>
      <c r="B928"/>
      <c r="F928"/>
      <c r="G928"/>
      <c r="H928"/>
      <c r="I928" s="97"/>
      <c r="J928"/>
      <c r="K928"/>
    </row>
    <row r="929" spans="1:11" s="21" customFormat="1">
      <c r="A929"/>
      <c r="B929"/>
      <c r="F929"/>
      <c r="G929"/>
      <c r="H929"/>
      <c r="I929" s="97"/>
      <c r="J929"/>
      <c r="K929"/>
    </row>
    <row r="930" spans="1:11" s="21" customFormat="1">
      <c r="A930"/>
      <c r="B930"/>
      <c r="F930"/>
      <c r="G930"/>
      <c r="H930"/>
      <c r="I930" s="97"/>
      <c r="J930"/>
      <c r="K930"/>
    </row>
    <row r="931" spans="1:11" s="21" customFormat="1">
      <c r="A931"/>
      <c r="B931"/>
      <c r="F931"/>
      <c r="G931"/>
      <c r="H931"/>
      <c r="I931" s="97"/>
      <c r="J931"/>
      <c r="K931"/>
    </row>
    <row r="932" spans="1:11" s="21" customFormat="1">
      <c r="A932"/>
      <c r="B932"/>
      <c r="F932"/>
      <c r="G932"/>
      <c r="H932"/>
      <c r="I932" s="97"/>
      <c r="J932"/>
      <c r="K932"/>
    </row>
    <row r="933" spans="1:11" s="21" customFormat="1">
      <c r="A933"/>
      <c r="B933"/>
      <c r="F933"/>
      <c r="G933"/>
      <c r="H933"/>
      <c r="I933" s="97"/>
      <c r="J933"/>
      <c r="K933"/>
    </row>
    <row r="934" spans="1:11" s="21" customFormat="1">
      <c r="A934"/>
      <c r="B934"/>
      <c r="F934"/>
      <c r="G934"/>
      <c r="H934"/>
      <c r="I934" s="97"/>
      <c r="J934"/>
      <c r="K934"/>
    </row>
    <row r="935" spans="1:11" s="21" customFormat="1">
      <c r="A935"/>
      <c r="B935"/>
      <c r="F935"/>
      <c r="G935"/>
      <c r="H935"/>
      <c r="I935" s="97"/>
      <c r="J935"/>
      <c r="K935"/>
    </row>
    <row r="936" spans="1:11" s="21" customFormat="1">
      <c r="A936"/>
      <c r="B936"/>
      <c r="F936"/>
      <c r="G936"/>
      <c r="H936"/>
      <c r="I936" s="97"/>
      <c r="J936"/>
      <c r="K936"/>
    </row>
    <row r="937" spans="1:11" s="21" customFormat="1">
      <c r="A937"/>
      <c r="B937"/>
      <c r="F937"/>
      <c r="G937"/>
      <c r="H937"/>
      <c r="I937" s="97"/>
      <c r="J937"/>
      <c r="K937"/>
    </row>
    <row r="938" spans="1:11" s="21" customFormat="1">
      <c r="A938"/>
      <c r="B938"/>
      <c r="F938"/>
      <c r="G938"/>
      <c r="H938"/>
      <c r="I938" s="97"/>
      <c r="J938"/>
      <c r="K938"/>
    </row>
    <row r="939" spans="1:11" s="21" customFormat="1">
      <c r="A939"/>
      <c r="B939"/>
      <c r="F939"/>
      <c r="G939"/>
      <c r="H939"/>
      <c r="I939" s="97"/>
      <c r="J939"/>
      <c r="K939"/>
    </row>
    <row r="940" spans="1:11" s="21" customFormat="1">
      <c r="A940"/>
      <c r="B940"/>
      <c r="F940"/>
      <c r="G940"/>
      <c r="H940"/>
      <c r="I940" s="97"/>
      <c r="J940"/>
      <c r="K940"/>
    </row>
    <row r="941" spans="1:11" s="21" customFormat="1">
      <c r="A941"/>
      <c r="B941"/>
      <c r="F941"/>
      <c r="G941"/>
      <c r="H941"/>
      <c r="I941" s="97"/>
      <c r="J941"/>
      <c r="K941"/>
    </row>
    <row r="942" spans="1:11" s="21" customFormat="1">
      <c r="A942"/>
      <c r="B942"/>
      <c r="F942"/>
      <c r="G942"/>
      <c r="H942"/>
      <c r="I942" s="97"/>
      <c r="J942"/>
      <c r="K942"/>
    </row>
    <row r="943" spans="1:11" s="21" customFormat="1">
      <c r="A943"/>
      <c r="B943"/>
      <c r="F943"/>
      <c r="G943"/>
      <c r="H943"/>
      <c r="I943" s="97"/>
      <c r="J943"/>
      <c r="K943"/>
    </row>
    <row r="944" spans="1:11" s="21" customFormat="1">
      <c r="A944"/>
      <c r="B944"/>
      <c r="F944"/>
      <c r="G944"/>
      <c r="H944"/>
      <c r="I944" s="97"/>
      <c r="J944"/>
      <c r="K944"/>
    </row>
    <row r="945" spans="1:11" s="21" customFormat="1">
      <c r="A945"/>
      <c r="B945"/>
      <c r="F945"/>
      <c r="G945"/>
      <c r="H945"/>
      <c r="I945" s="97"/>
      <c r="J945"/>
      <c r="K945"/>
    </row>
    <row r="946" spans="1:11" s="21" customFormat="1">
      <c r="A946"/>
      <c r="B946"/>
      <c r="F946"/>
      <c r="G946"/>
      <c r="H946"/>
      <c r="I946" s="97"/>
      <c r="J946"/>
      <c r="K946"/>
    </row>
    <row r="947" spans="1:11" s="21" customFormat="1">
      <c r="A947"/>
      <c r="B947"/>
      <c r="F947"/>
      <c r="G947"/>
      <c r="H947"/>
      <c r="I947" s="97"/>
      <c r="J947"/>
      <c r="K947"/>
    </row>
    <row r="948" spans="1:11" s="21" customFormat="1">
      <c r="A948"/>
      <c r="B948"/>
      <c r="F948"/>
      <c r="G948"/>
      <c r="H948"/>
      <c r="I948" s="97"/>
      <c r="J948"/>
      <c r="K948"/>
    </row>
    <row r="949" spans="1:11" s="21" customFormat="1">
      <c r="A949"/>
      <c r="B949"/>
      <c r="F949"/>
      <c r="G949"/>
      <c r="H949"/>
      <c r="I949" s="97"/>
      <c r="J949"/>
      <c r="K949"/>
    </row>
    <row r="950" spans="1:11" s="21" customFormat="1">
      <c r="A950"/>
      <c r="B950"/>
      <c r="F950"/>
      <c r="G950"/>
      <c r="H950"/>
      <c r="I950" s="97"/>
      <c r="J950"/>
      <c r="K950"/>
    </row>
    <row r="951" spans="1:11" s="21" customFormat="1">
      <c r="A951"/>
      <c r="B951"/>
      <c r="F951"/>
      <c r="G951"/>
      <c r="H951"/>
      <c r="I951" s="97"/>
      <c r="J951"/>
      <c r="K951"/>
    </row>
    <row r="952" spans="1:11" s="21" customFormat="1">
      <c r="A952"/>
      <c r="B952"/>
      <c r="F952"/>
      <c r="G952"/>
      <c r="H952"/>
      <c r="I952" s="97"/>
      <c r="J952"/>
      <c r="K952"/>
    </row>
    <row r="953" spans="1:11" s="21" customFormat="1">
      <c r="A953"/>
      <c r="B953"/>
      <c r="F953"/>
      <c r="G953"/>
      <c r="H953"/>
      <c r="I953" s="97"/>
      <c r="J953"/>
      <c r="K953"/>
    </row>
    <row r="954" spans="1:11" s="21" customFormat="1">
      <c r="A954"/>
      <c r="B954"/>
      <c r="F954"/>
      <c r="G954"/>
      <c r="H954"/>
      <c r="I954" s="97"/>
      <c r="J954"/>
      <c r="K954"/>
    </row>
    <row r="955" spans="1:11" s="21" customFormat="1">
      <c r="A955"/>
      <c r="B955"/>
      <c r="F955"/>
      <c r="G955"/>
      <c r="H955"/>
      <c r="I955" s="97"/>
      <c r="J955"/>
      <c r="K955"/>
    </row>
    <row r="956" spans="1:11" s="21" customFormat="1">
      <c r="A956"/>
      <c r="B956"/>
      <c r="F956"/>
      <c r="G956"/>
      <c r="H956"/>
      <c r="I956" s="97"/>
      <c r="J956"/>
      <c r="K956"/>
    </row>
    <row r="957" spans="1:11" s="21" customFormat="1">
      <c r="A957"/>
      <c r="B957"/>
      <c r="F957"/>
      <c r="G957"/>
      <c r="H957"/>
      <c r="I957" s="97"/>
      <c r="J957"/>
      <c r="K957"/>
    </row>
    <row r="958" spans="1:11" s="21" customFormat="1">
      <c r="A958"/>
      <c r="B958"/>
      <c r="F958"/>
      <c r="G958"/>
      <c r="H958"/>
      <c r="I958" s="97"/>
      <c r="J958"/>
      <c r="K958"/>
    </row>
    <row r="959" spans="1:11" s="21" customFormat="1">
      <c r="A959"/>
      <c r="B959"/>
      <c r="F959"/>
      <c r="G959"/>
      <c r="H959"/>
      <c r="I959" s="97"/>
      <c r="J959"/>
      <c r="K959"/>
    </row>
    <row r="960" spans="1:11" s="21" customFormat="1">
      <c r="A960"/>
      <c r="B960"/>
      <c r="F960"/>
      <c r="G960"/>
      <c r="H960"/>
      <c r="I960" s="97"/>
      <c r="J960"/>
      <c r="K960"/>
    </row>
    <row r="961" spans="1:11" s="21" customFormat="1">
      <c r="A961"/>
      <c r="B961"/>
      <c r="F961"/>
      <c r="G961"/>
      <c r="H961"/>
      <c r="I961" s="97"/>
      <c r="J961"/>
      <c r="K961"/>
    </row>
    <row r="962" spans="1:11" s="21" customFormat="1">
      <c r="A962"/>
      <c r="B962"/>
      <c r="F962"/>
      <c r="G962"/>
      <c r="H962"/>
      <c r="I962" s="97"/>
      <c r="J962"/>
      <c r="K962"/>
    </row>
    <row r="963" spans="1:11" s="21" customFormat="1">
      <c r="A963"/>
      <c r="B963"/>
      <c r="F963"/>
      <c r="G963"/>
      <c r="H963"/>
      <c r="I963" s="97"/>
      <c r="J963"/>
      <c r="K963"/>
    </row>
    <row r="964" spans="1:11" s="21" customFormat="1">
      <c r="A964"/>
      <c r="B964"/>
      <c r="F964"/>
      <c r="G964"/>
      <c r="H964"/>
      <c r="I964" s="97"/>
      <c r="J964"/>
      <c r="K964"/>
    </row>
    <row r="965" spans="1:11" s="21" customFormat="1">
      <c r="A965"/>
      <c r="B965"/>
      <c r="F965"/>
      <c r="G965"/>
      <c r="H965"/>
      <c r="I965" s="97"/>
      <c r="J965"/>
      <c r="K965"/>
    </row>
    <row r="966" spans="1:11" s="21" customFormat="1">
      <c r="A966"/>
      <c r="B966"/>
      <c r="F966"/>
      <c r="G966"/>
      <c r="H966"/>
      <c r="I966" s="97"/>
      <c r="J966"/>
      <c r="K966"/>
    </row>
    <row r="967" spans="1:11" s="21" customFormat="1">
      <c r="A967"/>
      <c r="B967"/>
      <c r="F967"/>
      <c r="G967"/>
      <c r="H967"/>
      <c r="I967" s="97"/>
      <c r="J967"/>
      <c r="K967"/>
    </row>
    <row r="968" spans="1:11" s="21" customFormat="1">
      <c r="A968"/>
      <c r="B968"/>
      <c r="F968"/>
      <c r="G968"/>
      <c r="H968"/>
      <c r="I968" s="97"/>
      <c r="J968"/>
      <c r="K968"/>
    </row>
    <row r="969" spans="1:11" s="21" customFormat="1">
      <c r="A969"/>
      <c r="B969"/>
      <c r="F969"/>
      <c r="G969"/>
      <c r="H969"/>
      <c r="I969" s="97"/>
      <c r="J969"/>
      <c r="K969"/>
    </row>
    <row r="970" spans="1:11" s="21" customFormat="1">
      <c r="A970"/>
      <c r="B970"/>
      <c r="F970"/>
      <c r="G970"/>
      <c r="H970"/>
      <c r="I970" s="97"/>
      <c r="J970"/>
      <c r="K970"/>
    </row>
    <row r="971" spans="1:11" s="21" customFormat="1">
      <c r="A971"/>
      <c r="B971"/>
      <c r="F971"/>
      <c r="G971"/>
      <c r="H971"/>
      <c r="I971" s="97"/>
      <c r="J971"/>
      <c r="K971"/>
    </row>
    <row r="972" spans="1:11" s="21" customFormat="1">
      <c r="A972"/>
      <c r="B972"/>
      <c r="F972"/>
      <c r="G972"/>
      <c r="H972"/>
      <c r="I972" s="97"/>
      <c r="J972"/>
      <c r="K972"/>
    </row>
    <row r="973" spans="1:11" s="21" customFormat="1">
      <c r="A973"/>
      <c r="B973"/>
      <c r="F973"/>
      <c r="G973"/>
      <c r="H973"/>
      <c r="I973" s="97"/>
      <c r="J973"/>
      <c r="K973"/>
    </row>
    <row r="974" spans="1:11" s="21" customFormat="1">
      <c r="A974"/>
      <c r="B974"/>
      <c r="F974"/>
      <c r="G974"/>
      <c r="H974"/>
      <c r="I974" s="97"/>
      <c r="J974"/>
      <c r="K974"/>
    </row>
    <row r="975" spans="1:11" s="21" customFormat="1">
      <c r="A975"/>
      <c r="B975"/>
      <c r="F975"/>
      <c r="G975"/>
      <c r="H975"/>
      <c r="I975" s="97"/>
      <c r="J975"/>
      <c r="K975"/>
    </row>
    <row r="976" spans="1:11" s="21" customFormat="1">
      <c r="A976"/>
      <c r="B976"/>
      <c r="F976"/>
      <c r="G976"/>
      <c r="H976"/>
      <c r="I976" s="97"/>
      <c r="J976"/>
      <c r="K976"/>
    </row>
    <row r="977" spans="1:11" s="21" customFormat="1">
      <c r="A977"/>
      <c r="B977"/>
      <c r="F977"/>
      <c r="G977"/>
      <c r="H977"/>
      <c r="I977" s="97"/>
      <c r="J977"/>
      <c r="K977"/>
    </row>
    <row r="978" spans="1:11" s="21" customFormat="1">
      <c r="A978"/>
      <c r="B978"/>
      <c r="F978"/>
      <c r="G978"/>
      <c r="H978"/>
      <c r="I978" s="97"/>
      <c r="J978"/>
      <c r="K978"/>
    </row>
    <row r="979" spans="1:11" s="21" customFormat="1">
      <c r="A979"/>
      <c r="B979"/>
      <c r="F979"/>
      <c r="G979"/>
      <c r="H979"/>
      <c r="I979" s="97"/>
      <c r="J979"/>
      <c r="K979"/>
    </row>
    <row r="980" spans="1:11" s="21" customFormat="1">
      <c r="A980"/>
      <c r="B980"/>
      <c r="F980"/>
      <c r="G980"/>
      <c r="H980"/>
      <c r="I980" s="97"/>
      <c r="J980"/>
      <c r="K980"/>
    </row>
    <row r="981" spans="1:11" s="21" customFormat="1">
      <c r="A981"/>
      <c r="B981"/>
      <c r="F981"/>
      <c r="G981"/>
      <c r="H981"/>
      <c r="I981" s="97"/>
      <c r="J981"/>
      <c r="K981"/>
    </row>
    <row r="982" spans="1:11" s="21" customFormat="1">
      <c r="A982"/>
      <c r="B982"/>
      <c r="F982"/>
      <c r="G982"/>
      <c r="H982"/>
      <c r="I982" s="97"/>
      <c r="J982"/>
      <c r="K982"/>
    </row>
    <row r="983" spans="1:11" s="21" customFormat="1">
      <c r="A983"/>
      <c r="B983"/>
      <c r="F983"/>
      <c r="G983"/>
      <c r="H983"/>
      <c r="I983" s="97"/>
      <c r="J983"/>
      <c r="K983"/>
    </row>
    <row r="984" spans="1:11" s="21" customFormat="1">
      <c r="A984"/>
      <c r="B984"/>
      <c r="F984"/>
      <c r="G984"/>
      <c r="H984"/>
      <c r="I984" s="97"/>
      <c r="J984"/>
      <c r="K984"/>
    </row>
    <row r="985" spans="1:11" s="21" customFormat="1">
      <c r="A985"/>
      <c r="B985"/>
      <c r="F985"/>
      <c r="G985"/>
      <c r="H985"/>
      <c r="I985" s="97"/>
      <c r="J985"/>
      <c r="K985"/>
    </row>
    <row r="986" spans="1:11" s="21" customFormat="1">
      <c r="A986"/>
      <c r="B986"/>
      <c r="F986"/>
      <c r="G986"/>
      <c r="H986"/>
      <c r="I986" s="97"/>
      <c r="J986"/>
      <c r="K986"/>
    </row>
    <row r="987" spans="1:11" s="21" customFormat="1">
      <c r="A987"/>
      <c r="B987"/>
      <c r="F987"/>
      <c r="G987"/>
      <c r="H987"/>
      <c r="I987" s="97"/>
      <c r="J987"/>
      <c r="K987"/>
    </row>
    <row r="988" spans="1:11" s="21" customFormat="1">
      <c r="A988"/>
      <c r="B988"/>
      <c r="F988"/>
      <c r="G988"/>
      <c r="H988"/>
      <c r="I988" s="97"/>
      <c r="J988"/>
      <c r="K988"/>
    </row>
    <row r="989" spans="1:11" s="21" customFormat="1">
      <c r="A989"/>
      <c r="B989"/>
      <c r="F989"/>
      <c r="G989"/>
      <c r="H989"/>
      <c r="I989" s="97"/>
      <c r="J989"/>
      <c r="K989"/>
    </row>
    <row r="990" spans="1:11" s="21" customFormat="1">
      <c r="A990"/>
      <c r="B990"/>
      <c r="F990"/>
      <c r="G990"/>
      <c r="H990"/>
      <c r="I990" s="97"/>
      <c r="J990"/>
      <c r="K990"/>
    </row>
    <row r="991" spans="1:11" s="21" customFormat="1">
      <c r="A991"/>
      <c r="B991"/>
      <c r="F991"/>
      <c r="G991"/>
      <c r="H991"/>
      <c r="I991" s="97"/>
      <c r="J991"/>
      <c r="K991"/>
    </row>
    <row r="992" spans="1:11" s="21" customFormat="1">
      <c r="A992"/>
      <c r="B992"/>
      <c r="F992"/>
      <c r="G992"/>
      <c r="H992"/>
      <c r="I992" s="97"/>
      <c r="J992"/>
      <c r="K992"/>
    </row>
    <row r="993" spans="1:11" s="21" customFormat="1">
      <c r="A993"/>
      <c r="B993"/>
      <c r="F993"/>
      <c r="G993"/>
      <c r="H993"/>
      <c r="I993" s="97"/>
      <c r="J993"/>
      <c r="K993"/>
    </row>
    <row r="994" spans="1:11" s="21" customFormat="1">
      <c r="A994"/>
      <c r="B994"/>
      <c r="F994"/>
      <c r="G994"/>
      <c r="H994"/>
      <c r="I994" s="97"/>
      <c r="J994"/>
      <c r="K994"/>
    </row>
    <row r="995" spans="1:11" s="21" customFormat="1">
      <c r="A995"/>
      <c r="B995"/>
      <c r="F995"/>
      <c r="G995"/>
      <c r="H995"/>
      <c r="I995" s="97"/>
      <c r="J995"/>
      <c r="K995"/>
    </row>
    <row r="996" spans="1:11" s="21" customFormat="1">
      <c r="A996"/>
      <c r="B996"/>
      <c r="F996"/>
      <c r="G996"/>
      <c r="H996"/>
      <c r="I996" s="97"/>
      <c r="J996"/>
      <c r="K996"/>
    </row>
    <row r="997" spans="1:11" s="21" customFormat="1">
      <c r="A997"/>
      <c r="B997"/>
      <c r="F997"/>
      <c r="G997"/>
      <c r="H997"/>
      <c r="I997" s="97"/>
      <c r="J997"/>
      <c r="K997"/>
    </row>
    <row r="998" spans="1:11" s="21" customFormat="1">
      <c r="A998"/>
      <c r="B998"/>
      <c r="F998"/>
      <c r="G998"/>
      <c r="H998"/>
      <c r="I998" s="97"/>
      <c r="J998"/>
      <c r="K998"/>
    </row>
    <row r="999" spans="1:11" s="21" customFormat="1">
      <c r="A999"/>
      <c r="B999"/>
      <c r="F999"/>
      <c r="G999"/>
      <c r="H999"/>
      <c r="I999" s="97"/>
      <c r="J999"/>
      <c r="K999"/>
    </row>
    <row r="1000" spans="1:11" s="21" customFormat="1">
      <c r="A1000"/>
      <c r="B1000"/>
      <c r="F1000"/>
      <c r="G1000"/>
      <c r="H1000"/>
      <c r="I1000" s="97"/>
      <c r="J1000"/>
      <c r="K1000"/>
    </row>
    <row r="1001" spans="1:11" s="21" customFormat="1">
      <c r="A1001"/>
      <c r="B1001"/>
      <c r="F1001"/>
      <c r="G1001"/>
      <c r="H1001"/>
      <c r="I1001" s="97"/>
      <c r="J1001"/>
      <c r="K1001"/>
    </row>
    <row r="1002" spans="1:11" s="21" customFormat="1">
      <c r="A1002"/>
      <c r="B1002"/>
      <c r="F1002"/>
      <c r="G1002"/>
      <c r="H1002"/>
      <c r="I1002" s="97"/>
      <c r="J1002"/>
      <c r="K1002"/>
    </row>
    <row r="1003" spans="1:11" s="21" customFormat="1">
      <c r="A1003"/>
      <c r="B1003"/>
      <c r="F1003"/>
      <c r="G1003"/>
      <c r="H1003"/>
      <c r="I1003" s="97"/>
      <c r="J1003"/>
      <c r="K1003"/>
    </row>
    <row r="1004" spans="1:11" s="21" customFormat="1">
      <c r="A1004"/>
      <c r="B1004"/>
      <c r="F1004"/>
      <c r="G1004"/>
      <c r="H1004"/>
      <c r="I1004" s="97"/>
      <c r="J1004"/>
      <c r="K1004"/>
    </row>
    <row r="1005" spans="1:11" s="21" customFormat="1">
      <c r="A1005"/>
      <c r="B1005"/>
      <c r="F1005"/>
      <c r="G1005"/>
      <c r="H1005"/>
      <c r="I1005" s="97"/>
      <c r="J1005"/>
      <c r="K1005"/>
    </row>
    <row r="1006" spans="1:11" s="21" customFormat="1">
      <c r="A1006"/>
      <c r="B1006"/>
      <c r="F1006"/>
      <c r="G1006"/>
      <c r="H1006"/>
      <c r="I1006" s="97"/>
      <c r="J1006"/>
      <c r="K1006"/>
    </row>
    <row r="1007" spans="1:11" s="21" customFormat="1">
      <c r="A1007"/>
      <c r="B1007"/>
      <c r="F1007"/>
      <c r="G1007"/>
      <c r="H1007"/>
      <c r="I1007" s="97"/>
      <c r="J1007"/>
      <c r="K1007"/>
    </row>
    <row r="1008" spans="1:11" s="21" customFormat="1">
      <c r="A1008"/>
      <c r="B1008"/>
      <c r="F1008"/>
      <c r="G1008"/>
      <c r="H1008"/>
      <c r="I1008" s="97"/>
      <c r="J1008"/>
      <c r="K1008"/>
    </row>
    <row r="1009" spans="1:11" s="21" customFormat="1">
      <c r="A1009"/>
      <c r="B1009"/>
      <c r="F1009"/>
      <c r="G1009"/>
      <c r="H1009"/>
      <c r="I1009" s="97"/>
      <c r="J1009"/>
      <c r="K1009"/>
    </row>
    <row r="1010" spans="1:11" s="21" customFormat="1">
      <c r="A1010"/>
      <c r="B1010"/>
      <c r="F1010"/>
      <c r="G1010"/>
      <c r="H1010"/>
      <c r="I1010" s="97"/>
      <c r="J1010"/>
      <c r="K1010"/>
    </row>
    <row r="1011" spans="1:11" s="21" customFormat="1">
      <c r="A1011"/>
      <c r="B1011"/>
      <c r="F1011"/>
      <c r="G1011"/>
      <c r="H1011"/>
      <c r="I1011" s="97"/>
      <c r="J1011"/>
      <c r="K1011"/>
    </row>
    <row r="1012" spans="1:11" s="21" customFormat="1">
      <c r="A1012"/>
      <c r="B1012"/>
      <c r="F1012"/>
      <c r="G1012"/>
      <c r="H1012"/>
      <c r="I1012" s="97"/>
      <c r="J1012"/>
      <c r="K1012"/>
    </row>
    <row r="1013" spans="1:11" s="21" customFormat="1">
      <c r="A1013"/>
      <c r="B1013"/>
      <c r="F1013"/>
      <c r="G1013"/>
      <c r="H1013"/>
      <c r="I1013" s="97"/>
      <c r="J1013"/>
      <c r="K1013"/>
    </row>
    <row r="1014" spans="1:11" s="21" customFormat="1">
      <c r="A1014"/>
      <c r="B1014"/>
      <c r="F1014"/>
      <c r="G1014"/>
      <c r="H1014"/>
      <c r="I1014" s="97"/>
      <c r="J1014"/>
      <c r="K1014"/>
    </row>
    <row r="1015" spans="1:11" s="21" customFormat="1">
      <c r="A1015"/>
      <c r="B1015"/>
      <c r="F1015"/>
      <c r="G1015"/>
      <c r="H1015"/>
      <c r="I1015" s="97"/>
      <c r="J1015"/>
      <c r="K1015"/>
    </row>
    <row r="1016" spans="1:11" s="21" customFormat="1">
      <c r="A1016"/>
      <c r="B1016"/>
      <c r="F1016"/>
      <c r="G1016"/>
      <c r="H1016"/>
      <c r="I1016" s="97"/>
      <c r="J1016"/>
      <c r="K1016"/>
    </row>
    <row r="1017" spans="1:11" s="21" customFormat="1">
      <c r="A1017"/>
      <c r="B1017"/>
      <c r="F1017"/>
      <c r="G1017"/>
      <c r="H1017"/>
      <c r="I1017" s="97"/>
      <c r="J1017"/>
      <c r="K1017"/>
    </row>
    <row r="1018" spans="1:11" s="21" customFormat="1">
      <c r="A1018"/>
      <c r="B1018"/>
      <c r="F1018"/>
      <c r="G1018"/>
      <c r="H1018"/>
      <c r="I1018" s="97"/>
      <c r="J1018"/>
      <c r="K1018"/>
    </row>
    <row r="1019" spans="1:11" s="21" customFormat="1">
      <c r="A1019"/>
      <c r="B1019"/>
      <c r="F1019"/>
      <c r="G1019"/>
      <c r="H1019"/>
      <c r="I1019" s="97"/>
      <c r="J1019"/>
      <c r="K1019"/>
    </row>
    <row r="1020" spans="1:11" s="21" customFormat="1">
      <c r="A1020"/>
      <c r="B1020"/>
      <c r="F1020"/>
      <c r="G1020"/>
      <c r="H1020"/>
      <c r="I1020" s="97"/>
      <c r="J1020"/>
      <c r="K1020"/>
    </row>
    <row r="1021" spans="1:11" s="21" customFormat="1">
      <c r="A1021"/>
      <c r="B1021"/>
      <c r="F1021"/>
      <c r="G1021"/>
      <c r="H1021"/>
      <c r="I1021" s="97"/>
      <c r="J1021"/>
      <c r="K1021"/>
    </row>
    <row r="1022" spans="1:11" s="21" customFormat="1">
      <c r="A1022"/>
      <c r="B1022"/>
      <c r="F1022"/>
      <c r="G1022"/>
      <c r="H1022"/>
      <c r="I1022" s="97"/>
      <c r="J1022"/>
      <c r="K1022"/>
    </row>
    <row r="1023" spans="1:11" s="21" customFormat="1">
      <c r="A1023"/>
      <c r="B1023"/>
      <c r="F1023"/>
      <c r="G1023"/>
      <c r="H1023"/>
      <c r="I1023" s="97"/>
      <c r="J1023"/>
      <c r="K1023"/>
    </row>
    <row r="1024" spans="1:11" s="21" customFormat="1">
      <c r="A1024"/>
      <c r="B1024"/>
      <c r="F1024"/>
      <c r="G1024"/>
      <c r="H1024"/>
      <c r="I1024" s="97"/>
      <c r="J1024"/>
      <c r="K1024"/>
    </row>
    <row r="1025" spans="1:11" s="21" customFormat="1">
      <c r="A1025"/>
      <c r="B1025"/>
      <c r="F1025"/>
      <c r="G1025"/>
      <c r="H1025"/>
      <c r="I1025" s="97"/>
      <c r="J1025"/>
      <c r="K1025"/>
    </row>
    <row r="1026" spans="1:11" s="21" customFormat="1">
      <c r="A1026"/>
      <c r="B1026"/>
      <c r="F1026"/>
      <c r="G1026"/>
      <c r="H1026"/>
      <c r="I1026" s="97"/>
      <c r="J1026"/>
      <c r="K1026"/>
    </row>
    <row r="1027" spans="1:11" s="21" customFormat="1">
      <c r="A1027"/>
      <c r="B1027"/>
      <c r="F1027"/>
      <c r="G1027"/>
      <c r="H1027"/>
      <c r="I1027" s="97"/>
      <c r="J1027"/>
      <c r="K1027"/>
    </row>
    <row r="1028" spans="1:11" s="21" customFormat="1">
      <c r="A1028"/>
      <c r="B1028"/>
      <c r="F1028"/>
      <c r="G1028"/>
      <c r="H1028"/>
      <c r="I1028" s="97"/>
      <c r="J1028"/>
      <c r="K1028"/>
    </row>
    <row r="1029" spans="1:11" s="21" customFormat="1">
      <c r="A1029"/>
      <c r="B1029"/>
      <c r="F1029"/>
      <c r="G1029"/>
      <c r="H1029"/>
      <c r="I1029" s="97"/>
      <c r="J1029"/>
      <c r="K1029"/>
    </row>
    <row r="1030" spans="1:11" s="21" customFormat="1">
      <c r="A1030"/>
      <c r="B1030"/>
      <c r="F1030"/>
      <c r="G1030"/>
      <c r="H1030"/>
      <c r="I1030" s="97"/>
      <c r="J1030"/>
      <c r="K1030"/>
    </row>
    <row r="1031" spans="1:11" s="21" customFormat="1">
      <c r="A1031"/>
      <c r="B1031"/>
      <c r="F1031"/>
      <c r="G1031"/>
      <c r="H1031"/>
      <c r="I1031" s="97"/>
      <c r="J1031"/>
      <c r="K1031"/>
    </row>
    <row r="1032" spans="1:11" s="21" customFormat="1">
      <c r="A1032"/>
      <c r="B1032"/>
      <c r="F1032"/>
      <c r="G1032"/>
      <c r="H1032"/>
      <c r="I1032" s="97"/>
      <c r="J1032"/>
      <c r="K1032"/>
    </row>
    <row r="1033" spans="1:11" s="21" customFormat="1">
      <c r="A1033"/>
      <c r="B1033"/>
      <c r="F1033"/>
      <c r="G1033"/>
      <c r="H1033"/>
      <c r="I1033" s="97"/>
      <c r="J1033"/>
      <c r="K1033"/>
    </row>
    <row r="1034" spans="1:11" s="21" customFormat="1">
      <c r="A1034"/>
      <c r="B1034"/>
      <c r="F1034"/>
      <c r="G1034"/>
      <c r="H1034"/>
      <c r="I1034" s="97"/>
      <c r="J1034"/>
      <c r="K1034"/>
    </row>
    <row r="1035" spans="1:11" s="21" customFormat="1">
      <c r="A1035"/>
      <c r="B1035"/>
      <c r="F1035"/>
      <c r="G1035"/>
      <c r="H1035"/>
      <c r="I1035" s="97"/>
      <c r="J1035"/>
      <c r="K1035"/>
    </row>
    <row r="1036" spans="1:11" s="21" customFormat="1">
      <c r="A1036"/>
      <c r="B1036"/>
      <c r="F1036"/>
      <c r="G1036"/>
      <c r="H1036"/>
      <c r="I1036" s="97"/>
      <c r="J1036"/>
      <c r="K1036"/>
    </row>
    <row r="1037" spans="1:11" s="21" customFormat="1">
      <c r="A1037"/>
      <c r="B1037"/>
      <c r="F1037"/>
      <c r="G1037"/>
      <c r="H1037"/>
      <c r="I1037" s="97"/>
      <c r="J1037"/>
      <c r="K1037"/>
    </row>
    <row r="1038" spans="1:11" s="21" customFormat="1">
      <c r="A1038"/>
      <c r="B1038"/>
      <c r="F1038"/>
      <c r="G1038"/>
      <c r="H1038"/>
      <c r="I1038" s="97"/>
      <c r="J1038"/>
      <c r="K1038"/>
    </row>
    <row r="1039" spans="1:11" s="21" customFormat="1">
      <c r="A1039"/>
      <c r="B1039"/>
      <c r="F1039"/>
      <c r="G1039"/>
      <c r="H1039"/>
      <c r="I1039" s="97"/>
      <c r="J1039"/>
      <c r="K1039"/>
    </row>
    <row r="1040" spans="1:11" s="21" customFormat="1">
      <c r="A1040"/>
      <c r="B1040"/>
      <c r="F1040"/>
      <c r="G1040"/>
      <c r="H1040"/>
      <c r="I1040" s="97"/>
      <c r="J1040"/>
      <c r="K1040"/>
    </row>
    <row r="1041" spans="1:11" s="21" customFormat="1">
      <c r="A1041"/>
      <c r="B1041"/>
      <c r="F1041"/>
      <c r="G1041"/>
      <c r="H1041"/>
      <c r="I1041" s="97"/>
      <c r="J1041"/>
      <c r="K1041"/>
    </row>
    <row r="1042" spans="1:11" s="21" customFormat="1">
      <c r="A1042"/>
      <c r="B1042"/>
      <c r="F1042"/>
      <c r="G1042"/>
      <c r="H1042"/>
      <c r="I1042" s="97"/>
      <c r="J1042"/>
      <c r="K1042"/>
    </row>
    <row r="1043" spans="1:11" s="21" customFormat="1">
      <c r="A1043"/>
      <c r="B1043"/>
      <c r="F1043"/>
      <c r="G1043"/>
      <c r="H1043"/>
      <c r="I1043" s="97"/>
      <c r="J1043"/>
      <c r="K1043"/>
    </row>
    <row r="1044" spans="1:11" s="21" customFormat="1">
      <c r="A1044"/>
      <c r="B1044"/>
      <c r="F1044"/>
      <c r="G1044"/>
      <c r="H1044"/>
      <c r="I1044" s="97"/>
      <c r="J1044"/>
      <c r="K1044"/>
    </row>
    <row r="1045" spans="1:11" s="21" customFormat="1">
      <c r="A1045"/>
      <c r="B1045"/>
      <c r="F1045"/>
      <c r="G1045"/>
      <c r="H1045"/>
      <c r="I1045" s="97"/>
      <c r="J1045"/>
      <c r="K1045"/>
    </row>
    <row r="1046" spans="1:11" s="21" customFormat="1">
      <c r="A1046"/>
      <c r="B1046"/>
      <c r="F1046"/>
      <c r="G1046"/>
      <c r="H1046"/>
      <c r="I1046" s="97"/>
      <c r="J1046"/>
      <c r="K1046"/>
    </row>
    <row r="1047" spans="1:11" s="21" customFormat="1">
      <c r="A1047"/>
      <c r="B1047"/>
      <c r="F1047"/>
      <c r="G1047"/>
      <c r="H1047"/>
      <c r="I1047" s="97"/>
      <c r="J1047"/>
      <c r="K1047"/>
    </row>
    <row r="1048" spans="1:11" s="21" customFormat="1">
      <c r="A1048"/>
      <c r="B1048"/>
      <c r="F1048"/>
      <c r="G1048"/>
      <c r="H1048"/>
      <c r="I1048" s="97"/>
      <c r="J1048"/>
      <c r="K1048"/>
    </row>
    <row r="1049" spans="1:11" s="21" customFormat="1">
      <c r="A1049"/>
      <c r="B1049"/>
      <c r="F1049"/>
      <c r="G1049"/>
      <c r="H1049"/>
      <c r="I1049" s="97"/>
      <c r="J1049"/>
      <c r="K1049"/>
    </row>
    <row r="1050" spans="1:11" s="21" customFormat="1">
      <c r="A1050"/>
      <c r="B1050"/>
      <c r="F1050"/>
      <c r="G1050"/>
      <c r="H1050"/>
      <c r="I1050" s="97"/>
      <c r="J1050"/>
      <c r="K1050"/>
    </row>
    <row r="1051" spans="1:11" s="21" customFormat="1">
      <c r="A1051"/>
      <c r="B1051"/>
      <c r="F1051"/>
      <c r="G1051"/>
      <c r="H1051"/>
      <c r="I1051" s="97"/>
      <c r="J1051"/>
      <c r="K1051"/>
    </row>
    <row r="1052" spans="1:11" s="21" customFormat="1">
      <c r="A1052"/>
      <c r="B1052"/>
      <c r="F1052"/>
      <c r="G1052"/>
      <c r="H1052"/>
      <c r="I1052" s="97"/>
      <c r="J1052"/>
      <c r="K1052"/>
    </row>
    <row r="1053" spans="1:11" s="21" customFormat="1">
      <c r="A1053"/>
      <c r="B1053"/>
      <c r="F1053"/>
      <c r="G1053"/>
      <c r="H1053"/>
      <c r="I1053" s="97"/>
      <c r="J1053"/>
      <c r="K1053"/>
    </row>
    <row r="1054" spans="1:11" s="21" customFormat="1">
      <c r="A1054"/>
      <c r="B1054"/>
      <c r="F1054"/>
      <c r="G1054"/>
      <c r="H1054"/>
      <c r="I1054" s="97"/>
      <c r="J1054"/>
      <c r="K1054"/>
    </row>
    <row r="1055" spans="1:11" s="21" customFormat="1">
      <c r="A1055"/>
      <c r="B1055"/>
      <c r="F1055"/>
      <c r="G1055"/>
      <c r="H1055"/>
      <c r="I1055" s="97"/>
      <c r="J1055"/>
      <c r="K1055"/>
    </row>
    <row r="1056" spans="1:11" s="21" customFormat="1">
      <c r="A1056"/>
      <c r="B1056"/>
      <c r="F1056"/>
      <c r="G1056"/>
      <c r="H1056"/>
      <c r="I1056" s="97"/>
      <c r="J1056"/>
      <c r="K1056"/>
    </row>
    <row r="1057" spans="1:11" s="21" customFormat="1">
      <c r="A1057"/>
      <c r="B1057"/>
      <c r="F1057"/>
      <c r="G1057"/>
      <c r="H1057"/>
      <c r="I1057" s="97"/>
      <c r="J1057"/>
      <c r="K1057"/>
    </row>
    <row r="1058" spans="1:11" s="21" customFormat="1">
      <c r="A1058"/>
      <c r="B1058"/>
      <c r="F1058"/>
      <c r="G1058"/>
      <c r="H1058"/>
      <c r="I1058" s="97"/>
      <c r="J1058"/>
      <c r="K1058"/>
    </row>
    <row r="1059" spans="1:11" s="21" customFormat="1">
      <c r="A1059"/>
      <c r="B1059"/>
      <c r="F1059"/>
      <c r="G1059"/>
      <c r="H1059"/>
      <c r="I1059" s="97"/>
      <c r="J1059"/>
      <c r="K1059"/>
    </row>
    <row r="1060" spans="1:11" s="21" customFormat="1">
      <c r="A1060"/>
      <c r="B1060"/>
      <c r="F1060"/>
      <c r="G1060"/>
      <c r="H1060"/>
      <c r="I1060" s="97"/>
      <c r="J1060"/>
      <c r="K1060"/>
    </row>
    <row r="1061" spans="1:11" s="21" customFormat="1">
      <c r="A1061"/>
      <c r="B1061"/>
      <c r="F1061"/>
      <c r="G1061"/>
      <c r="H1061"/>
      <c r="I1061" s="97"/>
      <c r="J1061"/>
      <c r="K1061"/>
    </row>
    <row r="1062" spans="1:11" s="21" customFormat="1">
      <c r="A1062"/>
      <c r="B1062"/>
      <c r="F1062"/>
      <c r="G1062"/>
      <c r="H1062"/>
      <c r="I1062" s="97"/>
      <c r="J1062"/>
      <c r="K1062"/>
    </row>
    <row r="1063" spans="1:11" s="21" customFormat="1">
      <c r="A1063"/>
      <c r="B1063"/>
      <c r="F1063"/>
      <c r="G1063"/>
      <c r="H1063"/>
      <c r="I1063" s="97"/>
      <c r="J1063"/>
      <c r="K1063"/>
    </row>
    <row r="1064" spans="1:11" s="21" customFormat="1">
      <c r="A1064"/>
      <c r="B1064"/>
      <c r="F1064"/>
      <c r="G1064"/>
      <c r="H1064"/>
      <c r="I1064" s="97"/>
      <c r="J1064"/>
      <c r="K1064"/>
    </row>
    <row r="1065" spans="1:11" s="21" customFormat="1">
      <c r="A1065"/>
      <c r="B1065"/>
      <c r="F1065"/>
      <c r="G1065"/>
      <c r="H1065"/>
      <c r="I1065" s="97"/>
      <c r="J1065"/>
      <c r="K1065"/>
    </row>
    <row r="1066" spans="1:11" s="21" customFormat="1">
      <c r="A1066"/>
      <c r="B1066"/>
      <c r="F1066"/>
      <c r="G1066"/>
      <c r="H1066"/>
      <c r="I1066" s="97"/>
      <c r="J1066"/>
      <c r="K1066"/>
    </row>
    <row r="1067" spans="1:11" s="21" customFormat="1">
      <c r="A1067"/>
      <c r="B1067"/>
      <c r="F1067"/>
      <c r="G1067"/>
      <c r="H1067"/>
      <c r="I1067" s="97"/>
      <c r="J1067"/>
      <c r="K1067"/>
    </row>
    <row r="1068" spans="1:11" s="21" customFormat="1">
      <c r="A1068"/>
      <c r="B1068"/>
      <c r="F1068"/>
      <c r="G1068"/>
      <c r="H1068"/>
      <c r="I1068" s="97"/>
      <c r="J1068"/>
      <c r="K1068"/>
    </row>
    <row r="1069" spans="1:11" s="21" customFormat="1">
      <c r="A1069"/>
      <c r="B1069"/>
      <c r="F1069"/>
      <c r="G1069"/>
      <c r="H1069"/>
      <c r="I1069" s="97"/>
      <c r="J1069"/>
      <c r="K1069"/>
    </row>
    <row r="1070" spans="1:11" s="21" customFormat="1">
      <c r="A1070"/>
      <c r="B1070"/>
      <c r="F1070"/>
      <c r="G1070"/>
      <c r="H1070"/>
      <c r="I1070" s="97"/>
      <c r="J1070"/>
      <c r="K1070"/>
    </row>
    <row r="1071" spans="1:11" s="21" customFormat="1">
      <c r="A1071"/>
      <c r="B1071"/>
      <c r="F1071"/>
      <c r="G1071"/>
      <c r="H1071"/>
      <c r="I1071" s="97"/>
      <c r="J1071"/>
      <c r="K1071"/>
    </row>
    <row r="1072" spans="1:11" s="21" customFormat="1">
      <c r="A1072"/>
      <c r="B1072"/>
      <c r="F1072"/>
      <c r="G1072"/>
      <c r="H1072"/>
      <c r="I1072" s="97"/>
      <c r="J1072"/>
      <c r="K1072"/>
    </row>
    <row r="1073" spans="1:11" s="21" customFormat="1">
      <c r="A1073"/>
      <c r="B1073"/>
      <c r="F1073"/>
      <c r="G1073"/>
      <c r="H1073"/>
      <c r="I1073" s="97"/>
      <c r="J1073"/>
      <c r="K1073"/>
    </row>
    <row r="1074" spans="1:11" s="21" customFormat="1">
      <c r="A1074"/>
      <c r="B1074"/>
      <c r="F1074"/>
      <c r="G1074"/>
      <c r="H1074"/>
      <c r="I1074" s="97"/>
      <c r="J1074"/>
      <c r="K1074"/>
    </row>
    <row r="1075" spans="1:11" s="21" customFormat="1">
      <c r="A1075"/>
      <c r="B1075"/>
      <c r="F1075"/>
      <c r="G1075"/>
      <c r="H1075"/>
      <c r="I1075" s="97"/>
      <c r="J1075"/>
      <c r="K1075"/>
    </row>
    <row r="1076" spans="1:11" s="21" customFormat="1">
      <c r="A1076"/>
      <c r="B1076"/>
      <c r="F1076"/>
      <c r="G1076"/>
      <c r="H1076"/>
      <c r="I1076" s="97"/>
      <c r="J1076"/>
      <c r="K1076"/>
    </row>
    <row r="1077" spans="1:11" s="21" customFormat="1">
      <c r="A1077"/>
      <c r="B1077"/>
      <c r="F1077"/>
      <c r="G1077"/>
      <c r="H1077"/>
      <c r="I1077" s="97"/>
      <c r="J1077"/>
      <c r="K1077"/>
    </row>
    <row r="1078" spans="1:11" s="21" customFormat="1">
      <c r="A1078"/>
      <c r="B1078"/>
      <c r="F1078"/>
      <c r="G1078"/>
      <c r="H1078"/>
      <c r="I1078" s="97"/>
      <c r="J1078"/>
      <c r="K1078"/>
    </row>
    <row r="1079" spans="1:11" s="21" customFormat="1">
      <c r="A1079"/>
      <c r="B1079"/>
      <c r="F1079"/>
      <c r="G1079"/>
      <c r="H1079"/>
      <c r="I1079" s="97"/>
      <c r="J1079"/>
      <c r="K1079"/>
    </row>
    <row r="1080" spans="1:11" s="21" customFormat="1">
      <c r="A1080"/>
      <c r="B1080"/>
      <c r="F1080"/>
      <c r="G1080"/>
      <c r="H1080"/>
      <c r="I1080" s="97"/>
      <c r="J1080"/>
      <c r="K1080"/>
    </row>
    <row r="1081" spans="1:11" s="21" customFormat="1">
      <c r="A1081"/>
      <c r="B1081"/>
      <c r="F1081"/>
      <c r="G1081"/>
      <c r="H1081"/>
      <c r="I1081" s="97"/>
      <c r="J1081"/>
      <c r="K1081"/>
    </row>
    <row r="1082" spans="1:11" s="21" customFormat="1">
      <c r="A1082"/>
      <c r="B1082"/>
      <c r="F1082"/>
      <c r="G1082"/>
      <c r="H1082"/>
      <c r="I1082" s="97"/>
      <c r="J1082"/>
      <c r="K1082"/>
    </row>
    <row r="1083" spans="1:11" s="21" customFormat="1">
      <c r="A1083"/>
      <c r="B1083"/>
      <c r="F1083"/>
      <c r="G1083"/>
      <c r="H1083"/>
      <c r="I1083" s="97"/>
      <c r="J1083"/>
      <c r="K1083"/>
    </row>
    <row r="1084" spans="1:11" s="21" customFormat="1">
      <c r="A1084"/>
      <c r="B1084"/>
      <c r="F1084"/>
      <c r="G1084"/>
      <c r="H1084"/>
      <c r="I1084" s="97"/>
      <c r="J1084"/>
      <c r="K1084"/>
    </row>
    <row r="1085" spans="1:11" s="21" customFormat="1">
      <c r="A1085"/>
      <c r="B1085"/>
      <c r="F1085"/>
      <c r="G1085"/>
      <c r="H1085"/>
      <c r="I1085" s="97"/>
      <c r="J1085"/>
      <c r="K1085"/>
    </row>
    <row r="1086" spans="1:11" s="21" customFormat="1">
      <c r="A1086"/>
      <c r="B1086"/>
      <c r="F1086"/>
      <c r="G1086"/>
      <c r="H1086"/>
      <c r="I1086" s="97"/>
      <c r="J1086"/>
      <c r="K1086"/>
    </row>
    <row r="1087" spans="1:11" s="21" customFormat="1">
      <c r="A1087"/>
      <c r="B1087"/>
      <c r="F1087"/>
      <c r="G1087"/>
      <c r="H1087"/>
      <c r="I1087" s="97"/>
      <c r="J1087"/>
      <c r="K1087"/>
    </row>
    <row r="1088" spans="1:11" s="21" customFormat="1">
      <c r="A1088"/>
      <c r="B1088"/>
      <c r="F1088"/>
      <c r="G1088"/>
      <c r="H1088"/>
      <c r="I1088" s="97"/>
      <c r="J1088"/>
      <c r="K1088"/>
    </row>
    <row r="1089" spans="1:11" s="21" customFormat="1">
      <c r="A1089"/>
      <c r="B1089"/>
      <c r="F1089"/>
      <c r="G1089"/>
      <c r="H1089"/>
      <c r="I1089" s="97"/>
      <c r="J1089"/>
      <c r="K1089"/>
    </row>
    <row r="1090" spans="1:11" s="21" customFormat="1">
      <c r="A1090"/>
      <c r="B1090"/>
      <c r="F1090"/>
      <c r="G1090"/>
      <c r="H1090"/>
      <c r="I1090" s="97"/>
      <c r="J1090"/>
      <c r="K1090"/>
    </row>
    <row r="1091" spans="1:11" s="21" customFormat="1">
      <c r="A1091"/>
      <c r="B1091"/>
      <c r="F1091"/>
      <c r="G1091"/>
      <c r="H1091"/>
      <c r="I1091" s="97"/>
      <c r="J1091"/>
      <c r="K1091"/>
    </row>
    <row r="1092" spans="1:11" s="21" customFormat="1">
      <c r="A1092"/>
      <c r="B1092"/>
      <c r="F1092"/>
      <c r="G1092"/>
      <c r="H1092"/>
      <c r="I1092" s="97"/>
      <c r="J1092"/>
      <c r="K1092"/>
    </row>
    <row r="1093" spans="1:11" s="21" customFormat="1">
      <c r="A1093"/>
      <c r="B1093"/>
      <c r="F1093"/>
      <c r="G1093"/>
      <c r="H1093"/>
      <c r="I1093" s="97"/>
      <c r="J1093"/>
      <c r="K1093"/>
    </row>
    <row r="1094" spans="1:11" s="21" customFormat="1">
      <c r="A1094"/>
      <c r="B1094"/>
      <c r="F1094"/>
      <c r="G1094"/>
      <c r="H1094"/>
      <c r="I1094" s="97"/>
      <c r="J1094"/>
      <c r="K1094"/>
    </row>
    <row r="1095" spans="1:11" s="21" customFormat="1">
      <c r="A1095"/>
      <c r="B1095"/>
      <c r="F1095"/>
      <c r="G1095"/>
      <c r="H1095"/>
      <c r="I1095" s="97"/>
      <c r="J1095"/>
      <c r="K1095"/>
    </row>
    <row r="1096" spans="1:11" s="21" customFormat="1">
      <c r="A1096"/>
      <c r="B1096"/>
      <c r="F1096"/>
      <c r="G1096"/>
      <c r="H1096"/>
      <c r="I1096" s="97"/>
      <c r="J1096"/>
      <c r="K1096"/>
    </row>
    <row r="1097" spans="1:11" s="21" customFormat="1">
      <c r="A1097"/>
      <c r="B1097"/>
      <c r="F1097"/>
      <c r="G1097"/>
      <c r="H1097"/>
      <c r="I1097" s="97"/>
      <c r="J1097"/>
      <c r="K1097"/>
    </row>
    <row r="1098" spans="1:11" s="21" customFormat="1">
      <c r="A1098"/>
      <c r="B1098"/>
      <c r="F1098"/>
      <c r="G1098"/>
      <c r="H1098"/>
      <c r="I1098" s="97"/>
      <c r="J1098"/>
      <c r="K1098"/>
    </row>
    <row r="1099" spans="1:11" s="21" customFormat="1">
      <c r="A1099"/>
      <c r="B1099"/>
      <c r="F1099"/>
      <c r="G1099"/>
      <c r="H1099"/>
      <c r="I1099" s="97"/>
      <c r="J1099"/>
      <c r="K1099"/>
    </row>
    <row r="1100" spans="1:11" s="21" customFormat="1">
      <c r="A1100"/>
      <c r="B1100"/>
      <c r="F1100"/>
      <c r="G1100"/>
      <c r="H1100"/>
      <c r="I1100" s="97"/>
      <c r="J1100"/>
      <c r="K1100"/>
    </row>
    <row r="1101" spans="1:11" s="21" customFormat="1">
      <c r="A1101"/>
      <c r="B1101"/>
      <c r="F1101"/>
      <c r="G1101"/>
      <c r="H1101"/>
      <c r="I1101" s="97"/>
      <c r="J1101"/>
      <c r="K1101"/>
    </row>
    <row r="1102" spans="1:11" s="21" customFormat="1">
      <c r="A1102"/>
      <c r="B1102"/>
      <c r="F1102"/>
      <c r="G1102"/>
      <c r="H1102"/>
      <c r="I1102" s="97"/>
      <c r="J1102"/>
      <c r="K1102"/>
    </row>
    <row r="1103" spans="1:11" s="21" customFormat="1">
      <c r="A1103"/>
      <c r="B1103"/>
      <c r="F1103"/>
      <c r="G1103"/>
      <c r="H1103"/>
      <c r="I1103" s="97"/>
      <c r="J1103"/>
      <c r="K1103"/>
    </row>
    <row r="1104" spans="1:11" s="21" customFormat="1">
      <c r="A1104"/>
      <c r="B1104"/>
      <c r="F1104"/>
      <c r="G1104"/>
      <c r="H1104"/>
      <c r="I1104" s="97"/>
      <c r="J1104"/>
      <c r="K1104"/>
    </row>
    <row r="1105" spans="1:11" s="21" customFormat="1">
      <c r="A1105"/>
      <c r="B1105"/>
      <c r="F1105"/>
      <c r="G1105"/>
      <c r="H1105"/>
      <c r="I1105" s="97"/>
      <c r="J1105"/>
      <c r="K1105"/>
    </row>
    <row r="1106" spans="1:11" s="21" customFormat="1">
      <c r="A1106"/>
      <c r="B1106"/>
      <c r="F1106"/>
      <c r="G1106"/>
      <c r="H1106"/>
      <c r="I1106" s="97"/>
      <c r="J1106"/>
      <c r="K1106"/>
    </row>
    <row r="1107" spans="1:11" s="21" customFormat="1">
      <c r="A1107"/>
      <c r="B1107"/>
      <c r="F1107"/>
      <c r="G1107"/>
      <c r="H1107"/>
      <c r="I1107" s="97"/>
      <c r="J1107"/>
      <c r="K1107"/>
    </row>
    <row r="1108" spans="1:11" s="21" customFormat="1">
      <c r="A1108"/>
      <c r="B1108"/>
      <c r="F1108"/>
      <c r="G1108"/>
      <c r="H1108"/>
      <c r="I1108" s="97"/>
      <c r="J1108"/>
      <c r="K1108"/>
    </row>
    <row r="1109" spans="1:11" s="21" customFormat="1">
      <c r="A1109"/>
      <c r="B1109"/>
      <c r="F1109"/>
      <c r="G1109"/>
      <c r="H1109"/>
      <c r="I1109" s="97"/>
      <c r="J1109"/>
      <c r="K1109"/>
    </row>
    <row r="1110" spans="1:11" s="21" customFormat="1">
      <c r="A1110"/>
      <c r="B1110"/>
      <c r="F1110"/>
      <c r="G1110"/>
      <c r="H1110"/>
      <c r="I1110" s="97"/>
      <c r="J1110"/>
      <c r="K1110"/>
    </row>
    <row r="1111" spans="1:11" s="21" customFormat="1">
      <c r="A1111"/>
      <c r="B1111"/>
      <c r="F1111"/>
      <c r="G1111"/>
      <c r="H1111"/>
      <c r="I1111" s="97"/>
      <c r="J1111"/>
      <c r="K1111"/>
    </row>
    <row r="1112" spans="1:11" s="21" customFormat="1">
      <c r="A1112"/>
      <c r="B1112"/>
      <c r="F1112"/>
      <c r="G1112"/>
      <c r="H1112"/>
      <c r="I1112" s="97"/>
      <c r="J1112"/>
      <c r="K1112"/>
    </row>
    <row r="1113" spans="1:11" s="21" customFormat="1">
      <c r="A1113"/>
      <c r="B1113"/>
      <c r="F1113"/>
      <c r="G1113"/>
      <c r="H1113"/>
      <c r="I1113" s="97"/>
      <c r="J1113"/>
      <c r="K1113"/>
    </row>
    <row r="1114" spans="1:11" s="21" customFormat="1">
      <c r="A1114"/>
      <c r="B1114"/>
      <c r="F1114"/>
      <c r="G1114"/>
      <c r="H1114"/>
      <c r="I1114" s="97"/>
      <c r="J1114"/>
      <c r="K1114"/>
    </row>
    <row r="1115" spans="1:11" s="21" customFormat="1">
      <c r="A1115"/>
      <c r="B1115"/>
      <c r="F1115"/>
      <c r="G1115"/>
      <c r="H1115"/>
      <c r="I1115" s="97"/>
      <c r="J1115"/>
      <c r="K1115"/>
    </row>
    <row r="1116" spans="1:11" s="21" customFormat="1">
      <c r="A1116"/>
      <c r="B1116"/>
      <c r="F1116"/>
      <c r="G1116"/>
      <c r="H1116"/>
      <c r="I1116" s="97"/>
      <c r="J1116"/>
      <c r="K1116"/>
    </row>
    <row r="1117" spans="1:11" s="21" customFormat="1">
      <c r="A1117"/>
      <c r="B1117"/>
      <c r="F1117"/>
      <c r="G1117"/>
      <c r="H1117"/>
      <c r="I1117" s="97"/>
      <c r="J1117"/>
      <c r="K1117"/>
    </row>
    <row r="1118" spans="1:11" s="21" customFormat="1">
      <c r="A1118"/>
      <c r="B1118"/>
      <c r="F1118"/>
      <c r="G1118"/>
      <c r="H1118"/>
      <c r="I1118" s="97"/>
      <c r="J1118"/>
      <c r="K1118"/>
    </row>
    <row r="1119" spans="1:11" s="21" customFormat="1">
      <c r="A1119"/>
      <c r="B1119"/>
      <c r="F1119"/>
      <c r="G1119"/>
      <c r="H1119"/>
      <c r="I1119" s="97"/>
      <c r="J1119"/>
      <c r="K1119"/>
    </row>
    <row r="1120" spans="1:11" s="21" customFormat="1">
      <c r="A1120"/>
      <c r="B1120"/>
      <c r="F1120"/>
      <c r="G1120"/>
      <c r="H1120"/>
      <c r="I1120" s="97"/>
      <c r="J1120"/>
      <c r="K1120"/>
    </row>
    <row r="1121" spans="1:11" s="21" customFormat="1">
      <c r="A1121"/>
      <c r="B1121"/>
      <c r="F1121"/>
      <c r="G1121"/>
      <c r="H1121"/>
      <c r="I1121" s="97"/>
      <c r="J1121"/>
      <c r="K1121"/>
    </row>
    <row r="1122" spans="1:11" s="21" customFormat="1">
      <c r="A1122"/>
      <c r="B1122"/>
      <c r="F1122"/>
      <c r="G1122"/>
      <c r="H1122"/>
      <c r="I1122" s="97"/>
      <c r="J1122"/>
      <c r="K1122"/>
    </row>
    <row r="1123" spans="1:11" s="21" customFormat="1">
      <c r="A1123"/>
      <c r="B1123"/>
      <c r="F1123"/>
      <c r="G1123"/>
      <c r="H1123"/>
      <c r="I1123" s="97"/>
      <c r="J1123"/>
      <c r="K1123"/>
    </row>
    <row r="1124" spans="1:11" s="21" customFormat="1">
      <c r="A1124"/>
      <c r="B1124"/>
      <c r="F1124"/>
      <c r="G1124"/>
      <c r="H1124"/>
      <c r="I1124" s="97"/>
      <c r="J1124"/>
      <c r="K1124"/>
    </row>
    <row r="1125" spans="1:11" s="21" customFormat="1">
      <c r="A1125"/>
      <c r="B1125"/>
      <c r="F1125"/>
      <c r="G1125"/>
      <c r="H1125"/>
      <c r="I1125" s="97"/>
      <c r="J1125"/>
      <c r="K1125"/>
    </row>
    <row r="1126" spans="1:11" s="21" customFormat="1">
      <c r="A1126"/>
      <c r="B1126"/>
      <c r="F1126"/>
      <c r="G1126"/>
      <c r="H1126"/>
      <c r="I1126" s="97"/>
      <c r="J1126"/>
      <c r="K1126"/>
    </row>
    <row r="1127" spans="1:11" s="21" customFormat="1">
      <c r="A1127"/>
      <c r="B1127"/>
      <c r="F1127"/>
      <c r="G1127"/>
      <c r="H1127"/>
      <c r="I1127" s="97"/>
      <c r="J1127"/>
      <c r="K1127"/>
    </row>
    <row r="1128" spans="1:11" s="21" customFormat="1">
      <c r="A1128"/>
      <c r="B1128"/>
      <c r="F1128"/>
      <c r="G1128"/>
      <c r="H1128"/>
      <c r="I1128" s="97"/>
      <c r="J1128"/>
      <c r="K1128"/>
    </row>
    <row r="1129" spans="1:11" s="21" customFormat="1">
      <c r="A1129"/>
      <c r="B1129"/>
      <c r="F1129"/>
      <c r="G1129"/>
      <c r="H1129"/>
      <c r="I1129" s="97"/>
      <c r="J1129"/>
      <c r="K1129"/>
    </row>
    <row r="1130" spans="1:11" s="21" customFormat="1">
      <c r="A1130"/>
      <c r="B1130"/>
      <c r="F1130"/>
      <c r="G1130"/>
      <c r="H1130"/>
      <c r="I1130" s="97"/>
      <c r="J1130"/>
      <c r="K1130"/>
    </row>
    <row r="1131" spans="1:11" s="21" customFormat="1">
      <c r="A1131"/>
      <c r="B1131"/>
      <c r="F1131"/>
      <c r="G1131"/>
      <c r="H1131"/>
      <c r="I1131" s="97"/>
      <c r="J1131"/>
      <c r="K1131"/>
    </row>
    <row r="1132" spans="1:11" s="21" customFormat="1">
      <c r="A1132"/>
      <c r="B1132"/>
      <c r="F1132"/>
      <c r="G1132"/>
      <c r="H1132"/>
      <c r="I1132" s="97"/>
      <c r="J1132"/>
      <c r="K1132"/>
    </row>
    <row r="1133" spans="1:11" s="21" customFormat="1">
      <c r="A1133"/>
      <c r="B1133"/>
      <c r="F1133"/>
      <c r="G1133"/>
      <c r="H1133"/>
      <c r="I1133" s="97"/>
      <c r="J1133"/>
      <c r="K1133"/>
    </row>
    <row r="1134" spans="1:11" s="21" customFormat="1">
      <c r="A1134"/>
      <c r="B1134"/>
      <c r="F1134"/>
      <c r="G1134"/>
      <c r="H1134"/>
      <c r="I1134" s="97"/>
      <c r="J1134"/>
      <c r="K1134"/>
    </row>
    <row r="1135" spans="1:11" s="21" customFormat="1">
      <c r="A1135"/>
      <c r="B1135"/>
      <c r="F1135"/>
      <c r="G1135"/>
      <c r="H1135"/>
      <c r="I1135" s="97"/>
      <c r="J1135"/>
      <c r="K1135"/>
    </row>
    <row r="1136" spans="1:11" s="21" customFormat="1">
      <c r="A1136"/>
      <c r="B1136"/>
      <c r="F1136"/>
      <c r="G1136"/>
      <c r="H1136"/>
      <c r="I1136" s="97"/>
      <c r="J1136"/>
      <c r="K1136"/>
    </row>
    <row r="1137" spans="1:11" s="21" customFormat="1">
      <c r="A1137"/>
      <c r="B1137"/>
      <c r="F1137"/>
      <c r="G1137"/>
      <c r="H1137"/>
      <c r="I1137" s="97"/>
      <c r="J1137"/>
      <c r="K1137"/>
    </row>
    <row r="1138" spans="1:11" s="21" customFormat="1">
      <c r="A1138"/>
      <c r="B1138"/>
      <c r="F1138"/>
      <c r="G1138"/>
      <c r="H1138"/>
      <c r="I1138" s="97"/>
      <c r="J1138"/>
      <c r="K1138"/>
    </row>
    <row r="1139" spans="1:11" s="21" customFormat="1">
      <c r="A1139"/>
      <c r="B1139"/>
      <c r="F1139"/>
      <c r="G1139"/>
      <c r="H1139"/>
      <c r="I1139" s="97"/>
      <c r="J1139"/>
      <c r="K1139"/>
    </row>
    <row r="1140" spans="1:11" s="21" customFormat="1">
      <c r="A1140"/>
      <c r="B1140"/>
      <c r="F1140"/>
      <c r="G1140"/>
      <c r="H1140"/>
      <c r="I1140" s="97"/>
      <c r="J1140"/>
      <c r="K1140"/>
    </row>
    <row r="1141" spans="1:11" s="21" customFormat="1">
      <c r="A1141"/>
      <c r="B1141"/>
      <c r="F1141"/>
      <c r="G1141"/>
      <c r="H1141"/>
      <c r="I1141" s="97"/>
      <c r="J1141"/>
      <c r="K1141"/>
    </row>
    <row r="1142" spans="1:11" s="21" customFormat="1">
      <c r="A1142"/>
      <c r="B1142"/>
      <c r="F1142"/>
      <c r="G1142"/>
      <c r="H1142"/>
      <c r="I1142" s="97"/>
      <c r="J1142"/>
      <c r="K1142"/>
    </row>
    <row r="1143" spans="1:11" s="21" customFormat="1">
      <c r="A1143"/>
      <c r="B1143"/>
      <c r="F1143"/>
      <c r="G1143"/>
      <c r="H1143"/>
      <c r="I1143" s="97"/>
      <c r="J1143"/>
      <c r="K1143"/>
    </row>
    <row r="1144" spans="1:11" s="21" customFormat="1">
      <c r="A1144"/>
      <c r="B1144"/>
      <c r="F1144"/>
      <c r="G1144"/>
      <c r="H1144"/>
      <c r="I1144" s="97"/>
      <c r="J1144"/>
      <c r="K1144"/>
    </row>
    <row r="1145" spans="1:11" s="21" customFormat="1">
      <c r="A1145"/>
      <c r="B1145"/>
      <c r="F1145"/>
      <c r="G1145"/>
      <c r="H1145"/>
      <c r="I1145" s="97"/>
      <c r="J1145"/>
      <c r="K1145"/>
    </row>
    <row r="1146" spans="1:11" s="21" customFormat="1">
      <c r="A1146"/>
      <c r="B1146"/>
      <c r="F1146"/>
      <c r="G1146"/>
      <c r="H1146"/>
      <c r="I1146" s="97"/>
      <c r="J1146"/>
      <c r="K1146"/>
    </row>
    <row r="1147" spans="1:11" s="21" customFormat="1">
      <c r="A1147"/>
      <c r="B1147"/>
      <c r="F1147"/>
      <c r="G1147"/>
      <c r="H1147"/>
      <c r="I1147" s="97"/>
      <c r="J1147"/>
      <c r="K1147"/>
    </row>
    <row r="1148" spans="1:11" s="21" customFormat="1">
      <c r="A1148"/>
      <c r="B1148"/>
      <c r="F1148"/>
      <c r="G1148"/>
      <c r="H1148"/>
      <c r="I1148" s="97"/>
      <c r="J1148"/>
      <c r="K1148"/>
    </row>
    <row r="1149" spans="1:11" s="21" customFormat="1">
      <c r="A1149"/>
      <c r="B1149"/>
      <c r="F1149"/>
      <c r="G1149"/>
      <c r="H1149"/>
      <c r="I1149" s="97"/>
      <c r="J1149"/>
      <c r="K1149"/>
    </row>
    <row r="1150" spans="1:11" s="21" customFormat="1">
      <c r="A1150"/>
      <c r="B1150"/>
      <c r="F1150"/>
      <c r="G1150"/>
      <c r="H1150"/>
      <c r="I1150" s="97"/>
      <c r="J1150"/>
      <c r="K1150"/>
    </row>
    <row r="1151" spans="1:11" s="21" customFormat="1">
      <c r="A1151"/>
      <c r="B1151"/>
      <c r="F1151"/>
      <c r="G1151"/>
      <c r="H1151"/>
      <c r="I1151" s="97"/>
      <c r="J1151"/>
      <c r="K1151"/>
    </row>
    <row r="1152" spans="1:11" s="21" customFormat="1">
      <c r="A1152"/>
      <c r="B1152"/>
      <c r="F1152"/>
      <c r="G1152"/>
      <c r="H1152"/>
      <c r="I1152" s="97"/>
      <c r="J1152"/>
      <c r="K1152"/>
    </row>
    <row r="1153" spans="1:11" s="21" customFormat="1">
      <c r="A1153"/>
      <c r="B1153"/>
      <c r="F1153"/>
      <c r="G1153"/>
      <c r="H1153"/>
      <c r="I1153" s="97"/>
      <c r="J1153"/>
      <c r="K1153"/>
    </row>
    <row r="1154" spans="1:11" s="21" customFormat="1">
      <c r="A1154"/>
      <c r="B1154"/>
      <c r="F1154"/>
      <c r="G1154"/>
      <c r="H1154"/>
      <c r="I1154" s="97"/>
      <c r="J1154"/>
      <c r="K1154"/>
    </row>
    <row r="1155" spans="1:11" s="21" customFormat="1">
      <c r="A1155"/>
      <c r="B1155"/>
      <c r="F1155"/>
      <c r="G1155"/>
      <c r="H1155"/>
      <c r="I1155" s="97"/>
      <c r="J1155"/>
      <c r="K1155"/>
    </row>
    <row r="1156" spans="1:11" s="21" customFormat="1">
      <c r="A1156"/>
      <c r="B1156"/>
      <c r="F1156"/>
      <c r="G1156"/>
      <c r="H1156"/>
      <c r="I1156" s="97"/>
      <c r="J1156"/>
      <c r="K1156"/>
    </row>
    <row r="1157" spans="1:11" s="21" customFormat="1">
      <c r="A1157"/>
      <c r="B1157"/>
      <c r="F1157"/>
      <c r="G1157"/>
      <c r="H1157"/>
      <c r="I1157" s="97"/>
      <c r="J1157"/>
      <c r="K1157"/>
    </row>
    <row r="1158" spans="1:11" s="21" customFormat="1">
      <c r="A1158"/>
      <c r="B1158"/>
      <c r="F1158"/>
      <c r="G1158"/>
      <c r="H1158"/>
      <c r="I1158" s="97"/>
      <c r="J1158"/>
      <c r="K1158"/>
    </row>
    <row r="1159" spans="1:11" s="21" customFormat="1">
      <c r="A1159"/>
      <c r="B1159"/>
      <c r="F1159"/>
      <c r="G1159"/>
      <c r="H1159"/>
      <c r="I1159" s="97"/>
      <c r="J1159"/>
      <c r="K1159"/>
    </row>
    <row r="1160" spans="1:11" s="21" customFormat="1">
      <c r="A1160"/>
      <c r="B1160"/>
      <c r="F1160"/>
      <c r="G1160"/>
      <c r="H1160"/>
      <c r="I1160" s="97"/>
      <c r="J1160"/>
      <c r="K1160"/>
    </row>
    <row r="1161" spans="1:11" s="21" customFormat="1">
      <c r="A1161"/>
      <c r="B1161"/>
      <c r="F1161"/>
      <c r="G1161"/>
      <c r="H1161"/>
      <c r="I1161" s="97"/>
      <c r="J1161"/>
      <c r="K1161"/>
    </row>
    <row r="1162" spans="1:11" s="21" customFormat="1">
      <c r="A1162"/>
      <c r="B1162"/>
      <c r="F1162"/>
      <c r="G1162"/>
      <c r="H1162"/>
      <c r="I1162" s="97"/>
      <c r="J1162"/>
      <c r="K1162"/>
    </row>
    <row r="1163" spans="1:11" s="21" customFormat="1">
      <c r="A1163"/>
      <c r="B1163"/>
      <c r="F1163"/>
      <c r="G1163"/>
      <c r="H1163"/>
      <c r="I1163" s="97"/>
      <c r="J1163"/>
      <c r="K1163"/>
    </row>
    <row r="1164" spans="1:11" s="21" customFormat="1">
      <c r="A1164"/>
      <c r="B1164"/>
      <c r="F1164"/>
      <c r="G1164"/>
      <c r="H1164"/>
      <c r="I1164" s="97"/>
      <c r="J1164"/>
      <c r="K1164"/>
    </row>
    <row r="1165" spans="1:11" s="21" customFormat="1">
      <c r="A1165"/>
      <c r="B1165"/>
      <c r="F1165"/>
      <c r="G1165"/>
      <c r="H1165"/>
      <c r="I1165" s="97"/>
      <c r="J1165"/>
      <c r="K1165"/>
    </row>
    <row r="1166" spans="1:11" s="21" customFormat="1">
      <c r="A1166"/>
      <c r="B1166"/>
      <c r="F1166"/>
      <c r="G1166"/>
      <c r="H1166"/>
      <c r="I1166" s="97"/>
      <c r="J1166"/>
      <c r="K1166"/>
    </row>
    <row r="1167" spans="1:11" s="21" customFormat="1">
      <c r="A1167"/>
      <c r="B1167"/>
      <c r="F1167"/>
      <c r="G1167"/>
      <c r="H1167"/>
      <c r="I1167" s="97"/>
      <c r="J1167"/>
      <c r="K1167"/>
    </row>
    <row r="1168" spans="1:11" s="21" customFormat="1">
      <c r="A1168"/>
      <c r="B1168"/>
      <c r="F1168"/>
      <c r="G1168"/>
      <c r="H1168"/>
      <c r="I1168" s="97"/>
      <c r="J1168"/>
      <c r="K1168"/>
    </row>
    <row r="1169" spans="1:11" s="21" customFormat="1">
      <c r="A1169"/>
      <c r="B1169"/>
      <c r="F1169"/>
      <c r="G1169"/>
      <c r="H1169"/>
      <c r="I1169" s="97"/>
      <c r="J1169"/>
      <c r="K1169"/>
    </row>
    <row r="1170" spans="1:11" s="21" customFormat="1">
      <c r="A1170"/>
      <c r="B1170"/>
      <c r="F1170"/>
      <c r="G1170"/>
      <c r="H1170"/>
      <c r="I1170" s="97"/>
      <c r="J1170"/>
      <c r="K1170"/>
    </row>
    <row r="1171" spans="1:11" s="21" customFormat="1">
      <c r="A1171"/>
      <c r="B1171"/>
      <c r="F1171"/>
      <c r="G1171"/>
      <c r="H1171"/>
      <c r="I1171" s="97"/>
      <c r="J1171"/>
      <c r="K1171"/>
    </row>
    <row r="1172" spans="1:11" s="21" customFormat="1">
      <c r="A1172"/>
      <c r="B1172"/>
      <c r="F1172"/>
      <c r="G1172"/>
      <c r="H1172"/>
      <c r="I1172" s="97"/>
      <c r="J1172"/>
      <c r="K1172"/>
    </row>
    <row r="1173" spans="1:11" s="21" customFormat="1">
      <c r="A1173"/>
      <c r="B1173"/>
      <c r="F1173"/>
      <c r="G1173"/>
      <c r="H1173"/>
      <c r="I1173" s="97"/>
      <c r="J1173"/>
      <c r="K1173"/>
    </row>
    <row r="1174" spans="1:11" s="21" customFormat="1">
      <c r="A1174"/>
      <c r="B1174"/>
      <c r="F1174"/>
      <c r="G1174"/>
      <c r="H1174"/>
      <c r="I1174" s="97"/>
      <c r="J1174"/>
      <c r="K1174"/>
    </row>
    <row r="1175" spans="1:11" s="21" customFormat="1">
      <c r="A1175"/>
      <c r="B1175"/>
      <c r="F1175"/>
      <c r="G1175"/>
      <c r="H1175"/>
      <c r="I1175" s="97"/>
      <c r="J1175"/>
      <c r="K1175"/>
    </row>
    <row r="1176" spans="1:11" s="21" customFormat="1">
      <c r="A1176"/>
      <c r="B1176"/>
      <c r="F1176"/>
      <c r="G1176"/>
      <c r="H1176"/>
      <c r="I1176" s="97"/>
      <c r="J1176"/>
      <c r="K1176"/>
    </row>
    <row r="1177" spans="1:11" s="21" customFormat="1">
      <c r="A1177"/>
      <c r="B1177"/>
      <c r="F1177"/>
      <c r="G1177"/>
      <c r="H1177"/>
      <c r="I1177" s="97"/>
      <c r="J1177"/>
      <c r="K1177"/>
    </row>
    <row r="1178" spans="1:11" s="21" customFormat="1">
      <c r="A1178"/>
      <c r="B1178"/>
      <c r="F1178"/>
      <c r="G1178"/>
      <c r="H1178"/>
      <c r="I1178" s="97"/>
      <c r="J1178"/>
      <c r="K1178"/>
    </row>
    <row r="1179" spans="1:11" s="21" customFormat="1">
      <c r="A1179"/>
      <c r="B1179"/>
      <c r="F1179"/>
      <c r="G1179"/>
      <c r="H1179"/>
      <c r="I1179" s="97"/>
      <c r="J1179"/>
      <c r="K1179"/>
    </row>
    <row r="1180" spans="1:11" s="21" customFormat="1">
      <c r="A1180"/>
      <c r="B1180"/>
      <c r="F1180"/>
      <c r="G1180"/>
      <c r="H1180"/>
      <c r="I1180" s="97"/>
      <c r="J1180"/>
      <c r="K1180"/>
    </row>
    <row r="1181" spans="1:11" s="21" customFormat="1">
      <c r="A1181"/>
      <c r="B1181"/>
      <c r="F1181"/>
      <c r="G1181"/>
      <c r="H1181"/>
      <c r="I1181" s="97"/>
      <c r="J1181"/>
      <c r="K1181"/>
    </row>
    <row r="1182" spans="1:11" s="21" customFormat="1">
      <c r="A1182"/>
      <c r="B1182"/>
      <c r="F1182"/>
      <c r="G1182"/>
      <c r="H1182"/>
      <c r="I1182" s="97"/>
      <c r="J1182"/>
      <c r="K1182"/>
    </row>
    <row r="1183" spans="1:11" s="21" customFormat="1">
      <c r="A1183"/>
      <c r="B1183"/>
      <c r="F1183"/>
      <c r="G1183"/>
      <c r="H1183"/>
      <c r="I1183" s="97"/>
      <c r="J1183"/>
      <c r="K1183"/>
    </row>
    <row r="1184" spans="1:11" s="21" customFormat="1">
      <c r="A1184"/>
      <c r="B1184"/>
      <c r="F1184"/>
      <c r="G1184"/>
      <c r="H1184"/>
      <c r="I1184" s="97"/>
      <c r="J1184"/>
      <c r="K1184"/>
    </row>
    <row r="1185" spans="1:11" s="21" customFormat="1">
      <c r="A1185"/>
      <c r="B1185"/>
      <c r="F1185"/>
      <c r="G1185"/>
      <c r="H1185"/>
      <c r="I1185" s="97"/>
      <c r="J1185"/>
      <c r="K1185"/>
    </row>
    <row r="1186" spans="1:11" s="21" customFormat="1">
      <c r="A1186"/>
      <c r="B1186"/>
      <c r="F1186"/>
      <c r="G1186"/>
      <c r="H1186"/>
      <c r="I1186" s="97"/>
      <c r="J1186"/>
      <c r="K1186"/>
    </row>
    <row r="1187" spans="1:11" s="21" customFormat="1">
      <c r="A1187"/>
      <c r="B1187"/>
      <c r="F1187"/>
      <c r="G1187"/>
      <c r="H1187"/>
      <c r="I1187" s="97"/>
      <c r="J1187"/>
      <c r="K1187"/>
    </row>
    <row r="1188" spans="1:11" s="21" customFormat="1">
      <c r="A1188"/>
      <c r="B1188"/>
      <c r="F1188"/>
      <c r="G1188"/>
      <c r="H1188"/>
      <c r="I1188" s="97"/>
      <c r="J1188"/>
      <c r="K1188"/>
    </row>
    <row r="1189" spans="1:11" s="21" customFormat="1">
      <c r="A1189"/>
      <c r="B1189"/>
      <c r="F1189"/>
      <c r="G1189"/>
      <c r="H1189"/>
      <c r="I1189" s="97"/>
      <c r="J1189"/>
      <c r="K1189"/>
    </row>
    <row r="1190" spans="1:11" s="21" customFormat="1">
      <c r="A1190"/>
      <c r="B1190"/>
      <c r="F1190"/>
      <c r="G1190"/>
      <c r="H1190"/>
      <c r="I1190" s="97"/>
      <c r="J1190"/>
      <c r="K1190"/>
    </row>
    <row r="1191" spans="1:11" s="21" customFormat="1">
      <c r="A1191"/>
      <c r="B1191"/>
      <c r="F1191"/>
      <c r="G1191"/>
      <c r="H1191"/>
      <c r="I1191" s="97"/>
      <c r="J1191"/>
      <c r="K1191"/>
    </row>
    <row r="1192" spans="1:11" s="21" customFormat="1">
      <c r="A1192"/>
      <c r="B1192"/>
      <c r="F1192"/>
      <c r="G1192"/>
      <c r="H1192"/>
      <c r="I1192" s="97"/>
      <c r="J1192"/>
      <c r="K1192"/>
    </row>
    <row r="1193" spans="1:11" s="21" customFormat="1">
      <c r="A1193"/>
      <c r="B1193"/>
      <c r="F1193"/>
      <c r="G1193"/>
      <c r="H1193"/>
      <c r="I1193" s="97"/>
      <c r="J1193"/>
      <c r="K1193"/>
    </row>
    <row r="1194" spans="1:11" s="21" customFormat="1">
      <c r="A1194"/>
      <c r="B1194"/>
      <c r="F1194"/>
      <c r="G1194"/>
      <c r="H1194"/>
      <c r="I1194" s="97"/>
      <c r="J1194"/>
      <c r="K1194"/>
    </row>
    <row r="1195" spans="1:11" s="21" customFormat="1">
      <c r="A1195"/>
      <c r="B1195"/>
      <c r="F1195"/>
      <c r="G1195"/>
      <c r="H1195"/>
      <c r="I1195" s="97"/>
      <c r="J1195"/>
      <c r="K1195"/>
    </row>
    <row r="1196" spans="1:11" s="21" customFormat="1">
      <c r="A1196"/>
      <c r="B1196"/>
      <c r="F1196"/>
      <c r="G1196"/>
      <c r="H1196"/>
      <c r="I1196" s="97"/>
      <c r="J1196"/>
      <c r="K1196"/>
    </row>
    <row r="1197" spans="1:11" s="21" customFormat="1">
      <c r="A1197"/>
      <c r="B1197"/>
      <c r="F1197"/>
      <c r="G1197"/>
      <c r="H1197"/>
      <c r="I1197" s="97"/>
      <c r="J1197"/>
      <c r="K1197"/>
    </row>
    <row r="1198" spans="1:11" s="21" customFormat="1">
      <c r="A1198"/>
      <c r="B1198"/>
      <c r="F1198"/>
      <c r="G1198"/>
      <c r="H1198"/>
      <c r="I1198" s="97"/>
      <c r="J1198"/>
      <c r="K1198"/>
    </row>
    <row r="1199" spans="1:11" s="21" customFormat="1">
      <c r="A1199"/>
      <c r="B1199"/>
      <c r="F1199"/>
      <c r="G1199"/>
      <c r="H1199"/>
      <c r="I1199" s="97"/>
      <c r="J1199"/>
      <c r="K1199"/>
    </row>
    <row r="1200" spans="1:11" s="21" customFormat="1">
      <c r="A1200"/>
      <c r="B1200"/>
      <c r="F1200"/>
      <c r="G1200"/>
      <c r="H1200"/>
      <c r="I1200" s="97"/>
      <c r="J1200"/>
      <c r="K1200"/>
    </row>
    <row r="1201" spans="1:11" s="21" customFormat="1">
      <c r="A1201"/>
      <c r="B1201"/>
      <c r="F1201"/>
      <c r="G1201"/>
      <c r="H1201"/>
      <c r="I1201" s="97"/>
      <c r="J1201"/>
      <c r="K1201"/>
    </row>
    <row r="1202" spans="1:11" s="21" customFormat="1">
      <c r="A1202"/>
      <c r="B1202"/>
      <c r="F1202"/>
      <c r="G1202"/>
      <c r="H1202"/>
      <c r="I1202" s="97"/>
      <c r="J1202"/>
      <c r="K1202"/>
    </row>
    <row r="1203" spans="1:11" s="21" customFormat="1">
      <c r="A1203"/>
      <c r="B1203"/>
      <c r="F1203"/>
      <c r="G1203"/>
      <c r="H1203"/>
      <c r="I1203" s="97"/>
      <c r="J1203"/>
      <c r="K1203"/>
    </row>
    <row r="1204" spans="1:11" s="21" customFormat="1">
      <c r="A1204"/>
      <c r="B1204"/>
      <c r="F1204"/>
      <c r="G1204"/>
      <c r="H1204"/>
      <c r="I1204" s="97"/>
      <c r="J1204"/>
      <c r="K1204"/>
    </row>
    <row r="1205" spans="1:11" s="21" customFormat="1">
      <c r="A1205"/>
      <c r="B1205"/>
      <c r="F1205"/>
      <c r="G1205"/>
      <c r="H1205"/>
      <c r="I1205" s="97"/>
      <c r="J1205"/>
      <c r="K1205"/>
    </row>
    <row r="1206" spans="1:11" s="21" customFormat="1">
      <c r="A1206"/>
      <c r="B1206"/>
      <c r="F1206"/>
      <c r="G1206"/>
      <c r="H1206"/>
      <c r="I1206" s="97"/>
      <c r="J1206"/>
      <c r="K1206"/>
    </row>
    <row r="1207" spans="1:11" s="21" customFormat="1">
      <c r="A1207"/>
      <c r="B1207"/>
      <c r="F1207"/>
      <c r="G1207"/>
      <c r="H1207"/>
      <c r="I1207" s="97"/>
      <c r="J1207"/>
      <c r="K1207"/>
    </row>
    <row r="1208" spans="1:11" s="21" customFormat="1">
      <c r="A1208"/>
      <c r="B1208"/>
      <c r="F1208"/>
      <c r="G1208"/>
      <c r="H1208"/>
      <c r="I1208" s="97"/>
      <c r="J1208"/>
      <c r="K1208"/>
    </row>
    <row r="1209" spans="1:11" s="21" customFormat="1">
      <c r="A1209"/>
      <c r="B1209"/>
      <c r="F1209"/>
      <c r="G1209"/>
      <c r="H1209"/>
      <c r="I1209" s="97"/>
      <c r="J1209"/>
      <c r="K1209"/>
    </row>
    <row r="1210" spans="1:11" s="21" customFormat="1">
      <c r="A1210"/>
      <c r="B1210"/>
      <c r="F1210"/>
      <c r="G1210"/>
      <c r="H1210"/>
      <c r="I1210" s="97"/>
      <c r="J1210"/>
      <c r="K1210"/>
    </row>
    <row r="1211" spans="1:11" s="21" customFormat="1">
      <c r="A1211"/>
      <c r="B1211"/>
      <c r="F1211"/>
      <c r="G1211"/>
      <c r="H1211"/>
      <c r="I1211" s="97"/>
      <c r="J1211"/>
      <c r="K1211"/>
    </row>
    <row r="1212" spans="1:11" s="21" customFormat="1">
      <c r="A1212"/>
      <c r="B1212"/>
      <c r="F1212"/>
      <c r="G1212"/>
      <c r="H1212"/>
      <c r="I1212" s="97"/>
      <c r="J1212"/>
      <c r="K1212"/>
    </row>
    <row r="1213" spans="1:11" s="21" customFormat="1">
      <c r="A1213"/>
      <c r="B1213"/>
      <c r="F1213"/>
      <c r="G1213"/>
      <c r="H1213"/>
      <c r="I1213" s="97"/>
      <c r="J1213"/>
      <c r="K1213"/>
    </row>
    <row r="1214" spans="1:11" s="21" customFormat="1">
      <c r="A1214"/>
      <c r="B1214"/>
      <c r="F1214"/>
      <c r="G1214"/>
      <c r="H1214"/>
      <c r="I1214" s="97"/>
      <c r="J1214"/>
      <c r="K1214"/>
    </row>
    <row r="1215" spans="1:11" s="21" customFormat="1">
      <c r="A1215"/>
      <c r="B1215"/>
      <c r="F1215"/>
      <c r="G1215"/>
      <c r="H1215"/>
      <c r="I1215" s="97"/>
      <c r="J1215"/>
      <c r="K1215"/>
    </row>
    <row r="1216" spans="1:11" s="21" customFormat="1">
      <c r="A1216"/>
      <c r="B1216"/>
      <c r="F1216"/>
      <c r="G1216"/>
      <c r="H1216"/>
      <c r="I1216" s="97"/>
      <c r="J1216"/>
      <c r="K1216"/>
    </row>
    <row r="1217" spans="1:11" s="21" customFormat="1">
      <c r="A1217"/>
      <c r="B1217"/>
      <c r="F1217"/>
      <c r="G1217"/>
      <c r="H1217"/>
      <c r="I1217" s="97"/>
      <c r="J1217"/>
      <c r="K1217"/>
    </row>
    <row r="1218" spans="1:11" s="21" customFormat="1">
      <c r="A1218"/>
      <c r="B1218"/>
      <c r="F1218"/>
      <c r="G1218"/>
      <c r="H1218"/>
      <c r="I1218" s="97"/>
      <c r="J1218"/>
      <c r="K1218"/>
    </row>
    <row r="1219" spans="1:11" s="21" customFormat="1">
      <c r="A1219"/>
      <c r="B1219"/>
      <c r="F1219"/>
      <c r="G1219"/>
      <c r="H1219"/>
      <c r="I1219" s="97"/>
      <c r="J1219"/>
      <c r="K1219"/>
    </row>
    <row r="1220" spans="1:11" s="21" customFormat="1">
      <c r="A1220"/>
      <c r="B1220"/>
      <c r="F1220"/>
      <c r="G1220"/>
      <c r="H1220"/>
      <c r="I1220" s="97"/>
      <c r="J1220"/>
      <c r="K1220"/>
    </row>
    <row r="1221" spans="1:11" s="21" customFormat="1">
      <c r="A1221"/>
      <c r="B1221"/>
      <c r="F1221"/>
      <c r="G1221"/>
      <c r="H1221"/>
      <c r="I1221" s="97"/>
      <c r="J1221"/>
      <c r="K1221"/>
    </row>
    <row r="1222" spans="1:11" s="21" customFormat="1">
      <c r="A1222"/>
      <c r="B1222"/>
      <c r="F1222"/>
      <c r="G1222"/>
      <c r="H1222"/>
      <c r="I1222" s="97"/>
      <c r="J1222"/>
      <c r="K1222"/>
    </row>
    <row r="1223" spans="1:11" s="21" customFormat="1">
      <c r="A1223"/>
      <c r="B1223"/>
      <c r="F1223"/>
      <c r="G1223"/>
      <c r="H1223"/>
      <c r="I1223" s="97"/>
      <c r="J1223"/>
      <c r="K1223"/>
    </row>
    <row r="1224" spans="1:11" s="21" customFormat="1">
      <c r="A1224"/>
      <c r="B1224"/>
      <c r="F1224"/>
      <c r="G1224"/>
      <c r="H1224"/>
      <c r="I1224" s="97"/>
      <c r="J1224"/>
      <c r="K1224"/>
    </row>
    <row r="1225" spans="1:11" s="21" customFormat="1">
      <c r="A1225"/>
      <c r="B1225"/>
      <c r="F1225"/>
      <c r="G1225"/>
      <c r="H1225"/>
      <c r="I1225" s="97"/>
      <c r="J1225"/>
      <c r="K1225"/>
    </row>
    <row r="1226" spans="1:11" s="21" customFormat="1">
      <c r="A1226"/>
      <c r="B1226"/>
      <c r="F1226"/>
      <c r="G1226"/>
      <c r="H1226"/>
      <c r="I1226" s="97"/>
      <c r="J1226"/>
      <c r="K1226"/>
    </row>
    <row r="1227" spans="1:11" s="21" customFormat="1">
      <c r="A1227"/>
      <c r="B1227"/>
      <c r="F1227"/>
      <c r="G1227"/>
      <c r="H1227"/>
      <c r="I1227" s="97"/>
      <c r="J1227"/>
      <c r="K1227"/>
    </row>
    <row r="1228" spans="1:11" s="21" customFormat="1">
      <c r="A1228"/>
      <c r="B1228"/>
      <c r="F1228"/>
      <c r="G1228"/>
      <c r="H1228"/>
      <c r="I1228" s="97"/>
      <c r="J1228"/>
      <c r="K1228"/>
    </row>
    <row r="1229" spans="1:11" s="21" customFormat="1">
      <c r="A1229"/>
      <c r="B1229"/>
      <c r="F1229"/>
      <c r="G1229"/>
      <c r="H1229"/>
      <c r="I1229" s="97"/>
      <c r="J1229"/>
      <c r="K1229"/>
    </row>
    <row r="1230" spans="1:11" s="21" customFormat="1">
      <c r="A1230"/>
      <c r="B1230"/>
      <c r="F1230"/>
      <c r="G1230"/>
      <c r="H1230"/>
      <c r="I1230" s="97"/>
      <c r="J1230"/>
      <c r="K1230"/>
    </row>
    <row r="1231" spans="1:11" s="21" customFormat="1">
      <c r="A1231"/>
      <c r="B1231"/>
      <c r="F1231"/>
      <c r="G1231"/>
      <c r="H1231"/>
      <c r="I1231" s="97"/>
      <c r="J1231"/>
      <c r="K1231"/>
    </row>
    <row r="1232" spans="1:11" s="21" customFormat="1">
      <c r="A1232"/>
      <c r="B1232"/>
      <c r="F1232"/>
      <c r="G1232"/>
      <c r="H1232"/>
      <c r="I1232" s="97"/>
      <c r="J1232"/>
      <c r="K1232"/>
    </row>
    <row r="1233" spans="1:11" s="21" customFormat="1">
      <c r="A1233"/>
      <c r="B1233"/>
      <c r="F1233"/>
      <c r="G1233"/>
      <c r="H1233"/>
      <c r="I1233" s="97"/>
      <c r="J1233"/>
      <c r="K1233"/>
    </row>
    <row r="1234" spans="1:11" s="21" customFormat="1">
      <c r="A1234"/>
      <c r="B1234"/>
      <c r="F1234"/>
      <c r="G1234"/>
      <c r="H1234"/>
      <c r="I1234" s="97"/>
      <c r="J1234"/>
      <c r="K1234"/>
    </row>
    <row r="1235" spans="1:11" s="21" customFormat="1">
      <c r="A1235"/>
      <c r="B1235"/>
      <c r="F1235"/>
      <c r="G1235"/>
      <c r="H1235"/>
      <c r="I1235" s="97"/>
      <c r="J1235"/>
      <c r="K1235"/>
    </row>
    <row r="1236" spans="1:11" s="21" customFormat="1">
      <c r="A1236"/>
      <c r="B1236"/>
      <c r="F1236"/>
      <c r="G1236"/>
      <c r="H1236"/>
      <c r="I1236" s="97"/>
      <c r="J1236"/>
      <c r="K1236"/>
    </row>
    <row r="1237" spans="1:11" s="21" customFormat="1">
      <c r="A1237"/>
      <c r="B1237"/>
      <c r="F1237"/>
      <c r="G1237"/>
      <c r="H1237"/>
      <c r="I1237" s="97"/>
      <c r="J1237"/>
      <c r="K1237"/>
    </row>
    <row r="1238" spans="1:11" s="21" customFormat="1">
      <c r="A1238"/>
      <c r="B1238"/>
      <c r="F1238"/>
      <c r="G1238"/>
      <c r="H1238"/>
      <c r="I1238" s="97"/>
      <c r="J1238"/>
      <c r="K1238"/>
    </row>
    <row r="1239" spans="1:11" s="21" customFormat="1">
      <c r="A1239"/>
      <c r="B1239"/>
      <c r="F1239"/>
      <c r="G1239"/>
      <c r="H1239"/>
      <c r="I1239" s="97"/>
      <c r="J1239"/>
      <c r="K1239"/>
    </row>
    <row r="1240" spans="1:11" s="21" customFormat="1">
      <c r="A1240"/>
      <c r="B1240"/>
      <c r="F1240"/>
      <c r="G1240"/>
      <c r="H1240"/>
      <c r="I1240" s="97"/>
      <c r="J1240"/>
      <c r="K1240"/>
    </row>
    <row r="1241" spans="1:11" s="21" customFormat="1">
      <c r="A1241"/>
      <c r="B1241"/>
      <c r="F1241"/>
      <c r="G1241"/>
      <c r="H1241"/>
      <c r="I1241" s="97"/>
      <c r="J1241"/>
      <c r="K1241"/>
    </row>
    <row r="1242" spans="1:11" s="21" customFormat="1">
      <c r="A1242"/>
      <c r="B1242"/>
      <c r="F1242"/>
      <c r="G1242"/>
      <c r="H1242"/>
      <c r="I1242" s="97"/>
      <c r="J1242"/>
      <c r="K1242"/>
    </row>
    <row r="1243" spans="1:11" s="21" customFormat="1">
      <c r="A1243"/>
      <c r="B1243"/>
      <c r="F1243"/>
      <c r="G1243"/>
      <c r="H1243"/>
      <c r="I1243" s="97"/>
      <c r="J1243"/>
      <c r="K1243"/>
    </row>
    <row r="1244" spans="1:11" s="21" customFormat="1">
      <c r="A1244"/>
      <c r="B1244"/>
      <c r="F1244"/>
      <c r="G1244"/>
      <c r="H1244"/>
      <c r="I1244" s="97"/>
      <c r="J1244"/>
      <c r="K1244"/>
    </row>
    <row r="1245" spans="1:11" s="21" customFormat="1">
      <c r="A1245"/>
      <c r="B1245"/>
      <c r="F1245"/>
      <c r="G1245"/>
      <c r="H1245"/>
      <c r="I1245" s="97"/>
      <c r="J1245"/>
      <c r="K1245"/>
    </row>
    <row r="1246" spans="1:11" s="21" customFormat="1">
      <c r="A1246"/>
      <c r="B1246"/>
      <c r="F1246"/>
      <c r="G1246"/>
      <c r="H1246"/>
      <c r="I1246" s="97"/>
      <c r="J1246"/>
      <c r="K1246"/>
    </row>
    <row r="1247" spans="1:11" s="21" customFormat="1">
      <c r="A1247"/>
      <c r="B1247"/>
      <c r="F1247"/>
      <c r="G1247"/>
      <c r="H1247"/>
      <c r="I1247" s="97"/>
      <c r="J1247"/>
      <c r="K1247"/>
    </row>
    <row r="1248" spans="1:11" s="21" customFormat="1">
      <c r="A1248"/>
      <c r="B1248"/>
      <c r="F1248"/>
      <c r="G1248"/>
      <c r="H1248"/>
      <c r="I1248" s="97"/>
      <c r="J1248"/>
      <c r="K1248"/>
    </row>
    <row r="1249" spans="1:11" s="21" customFormat="1">
      <c r="A1249"/>
      <c r="B1249"/>
      <c r="F1249"/>
      <c r="G1249"/>
      <c r="H1249"/>
      <c r="I1249" s="97"/>
      <c r="J1249"/>
      <c r="K1249"/>
    </row>
    <row r="1250" spans="1:11" s="21" customFormat="1">
      <c r="A1250"/>
      <c r="B1250"/>
      <c r="F1250"/>
      <c r="G1250"/>
      <c r="H1250"/>
      <c r="I1250" s="97"/>
      <c r="J1250"/>
      <c r="K1250"/>
    </row>
    <row r="1251" spans="1:11" s="21" customFormat="1">
      <c r="A1251"/>
      <c r="B1251"/>
      <c r="F1251"/>
      <c r="G1251"/>
      <c r="H1251"/>
      <c r="I1251" s="97"/>
      <c r="J1251"/>
      <c r="K1251"/>
    </row>
    <row r="1252" spans="1:11" s="21" customFormat="1">
      <c r="A1252"/>
      <c r="B1252"/>
      <c r="F1252"/>
      <c r="G1252"/>
      <c r="H1252"/>
      <c r="I1252" s="97"/>
      <c r="J1252"/>
      <c r="K1252"/>
    </row>
    <row r="1253" spans="1:11" s="21" customFormat="1">
      <c r="A1253"/>
      <c r="B1253"/>
      <c r="F1253"/>
      <c r="G1253"/>
      <c r="H1253"/>
      <c r="I1253" s="97"/>
      <c r="J1253"/>
      <c r="K1253"/>
    </row>
    <row r="1254" spans="1:11" s="21" customFormat="1">
      <c r="A1254"/>
      <c r="B1254"/>
      <c r="F1254"/>
      <c r="G1254"/>
      <c r="H1254"/>
      <c r="I1254" s="97"/>
      <c r="J1254"/>
      <c r="K1254"/>
    </row>
    <row r="1255" spans="1:11" s="21" customFormat="1">
      <c r="A1255"/>
      <c r="B1255"/>
      <c r="F1255"/>
      <c r="G1255"/>
      <c r="H1255"/>
      <c r="I1255" s="97"/>
      <c r="J1255"/>
      <c r="K1255"/>
    </row>
    <row r="1256" spans="1:11" s="21" customFormat="1">
      <c r="A1256"/>
      <c r="B1256"/>
      <c r="F1256"/>
      <c r="G1256"/>
      <c r="H1256"/>
      <c r="I1256" s="97"/>
      <c r="J1256"/>
      <c r="K1256"/>
    </row>
    <row r="1257" spans="1:11" s="21" customFormat="1">
      <c r="A1257"/>
      <c r="B1257"/>
      <c r="F1257"/>
      <c r="G1257"/>
      <c r="H1257"/>
      <c r="I1257" s="97"/>
      <c r="J1257"/>
      <c r="K1257"/>
    </row>
    <row r="1258" spans="1:11" s="21" customFormat="1">
      <c r="A1258"/>
      <c r="B1258"/>
      <c r="F1258"/>
      <c r="G1258"/>
      <c r="H1258"/>
      <c r="I1258" s="97"/>
      <c r="J1258"/>
      <c r="K1258"/>
    </row>
    <row r="1259" spans="1:11" s="21" customFormat="1">
      <c r="A1259"/>
      <c r="B1259"/>
      <c r="F1259"/>
      <c r="G1259"/>
      <c r="H1259"/>
      <c r="I1259" s="97"/>
      <c r="J1259"/>
      <c r="K1259"/>
    </row>
    <row r="1260" spans="1:11" s="21" customFormat="1">
      <c r="A1260"/>
      <c r="B1260"/>
      <c r="F1260"/>
      <c r="G1260"/>
      <c r="H1260"/>
      <c r="I1260" s="97"/>
      <c r="J1260"/>
      <c r="K1260"/>
    </row>
    <row r="1261" spans="1:11" s="21" customFormat="1">
      <c r="A1261"/>
      <c r="B1261"/>
      <c r="F1261"/>
      <c r="G1261"/>
      <c r="H1261"/>
      <c r="I1261" s="97"/>
      <c r="J1261"/>
      <c r="K1261"/>
    </row>
    <row r="1262" spans="1:11" s="21" customFormat="1">
      <c r="A1262"/>
      <c r="B1262"/>
      <c r="F1262"/>
      <c r="G1262"/>
      <c r="H1262"/>
      <c r="I1262" s="97"/>
      <c r="J1262"/>
      <c r="K1262"/>
    </row>
    <row r="1263" spans="1:11" s="21" customFormat="1">
      <c r="A1263"/>
      <c r="B1263"/>
      <c r="F1263"/>
      <c r="G1263"/>
      <c r="H1263"/>
      <c r="I1263" s="97"/>
      <c r="J1263"/>
      <c r="K1263"/>
    </row>
    <row r="1264" spans="1:11" s="21" customFormat="1">
      <c r="A1264"/>
      <c r="B1264"/>
      <c r="F1264"/>
      <c r="G1264"/>
      <c r="H1264"/>
      <c r="I1264" s="97"/>
      <c r="J1264"/>
      <c r="K1264"/>
    </row>
    <row r="1265" spans="1:11" s="21" customFormat="1">
      <c r="A1265"/>
      <c r="B1265"/>
      <c r="F1265"/>
      <c r="G1265"/>
      <c r="H1265"/>
      <c r="I1265" s="97"/>
      <c r="J1265"/>
      <c r="K1265"/>
    </row>
    <row r="1266" spans="1:11" s="21" customFormat="1">
      <c r="A1266"/>
      <c r="B1266"/>
      <c r="F1266"/>
      <c r="G1266"/>
      <c r="H1266"/>
      <c r="I1266" s="97"/>
      <c r="J1266"/>
      <c r="K1266"/>
    </row>
    <row r="1267" spans="1:11" s="21" customFormat="1">
      <c r="A1267"/>
      <c r="B1267"/>
      <c r="F1267"/>
      <c r="G1267"/>
      <c r="H1267"/>
      <c r="I1267" s="97"/>
      <c r="J1267"/>
      <c r="K1267"/>
    </row>
    <row r="1268" spans="1:11" s="21" customFormat="1">
      <c r="A1268"/>
      <c r="B1268"/>
      <c r="F1268"/>
      <c r="G1268"/>
      <c r="H1268"/>
      <c r="I1268" s="97"/>
      <c r="J1268"/>
      <c r="K1268"/>
    </row>
    <row r="1269" spans="1:11" s="21" customFormat="1">
      <c r="A1269"/>
      <c r="B1269"/>
      <c r="F1269"/>
      <c r="G1269"/>
      <c r="H1269"/>
      <c r="I1269" s="97"/>
      <c r="J1269"/>
      <c r="K1269"/>
    </row>
    <row r="1270" spans="1:11" s="21" customFormat="1">
      <c r="A1270"/>
      <c r="B1270"/>
      <c r="F1270"/>
      <c r="G1270"/>
      <c r="H1270"/>
      <c r="I1270" s="97"/>
      <c r="J1270"/>
      <c r="K1270"/>
    </row>
    <row r="1271" spans="1:11" s="21" customFormat="1">
      <c r="A1271"/>
      <c r="B1271"/>
      <c r="F1271"/>
      <c r="G1271"/>
      <c r="H1271"/>
      <c r="I1271" s="97"/>
      <c r="J1271"/>
      <c r="K1271"/>
    </row>
    <row r="1272" spans="1:11" s="21" customFormat="1">
      <c r="A1272"/>
      <c r="B1272"/>
      <c r="F1272"/>
      <c r="G1272"/>
      <c r="H1272"/>
      <c r="I1272" s="97"/>
      <c r="J1272"/>
      <c r="K1272"/>
    </row>
    <row r="1273" spans="1:11" s="21" customFormat="1">
      <c r="A1273"/>
      <c r="B1273"/>
      <c r="F1273"/>
      <c r="G1273"/>
      <c r="H1273"/>
      <c r="I1273" s="97"/>
      <c r="J1273"/>
      <c r="K1273"/>
    </row>
    <row r="1274" spans="1:11" s="21" customFormat="1">
      <c r="A1274"/>
      <c r="B1274"/>
      <c r="F1274"/>
      <c r="G1274"/>
      <c r="H1274"/>
      <c r="I1274" s="97"/>
      <c r="J1274"/>
      <c r="K1274"/>
    </row>
    <row r="1275" spans="1:11" s="21" customFormat="1">
      <c r="A1275"/>
      <c r="B1275"/>
      <c r="F1275"/>
      <c r="G1275"/>
      <c r="H1275"/>
      <c r="I1275" s="97"/>
      <c r="J1275"/>
      <c r="K1275"/>
    </row>
    <row r="1276" spans="1:11" s="21" customFormat="1">
      <c r="A1276"/>
      <c r="B1276"/>
      <c r="F1276"/>
      <c r="G1276"/>
      <c r="H1276"/>
      <c r="I1276" s="97"/>
      <c r="J1276"/>
      <c r="K1276"/>
    </row>
    <row r="1277" spans="1:11" s="21" customFormat="1">
      <c r="A1277"/>
      <c r="B1277"/>
      <c r="F1277"/>
      <c r="G1277"/>
      <c r="H1277"/>
      <c r="I1277" s="97"/>
      <c r="J1277"/>
      <c r="K1277"/>
    </row>
    <row r="1278" spans="1:11" s="21" customFormat="1">
      <c r="A1278"/>
      <c r="B1278"/>
      <c r="F1278"/>
      <c r="G1278"/>
      <c r="H1278"/>
      <c r="I1278" s="97"/>
      <c r="J1278"/>
      <c r="K1278"/>
    </row>
    <row r="1279" spans="1:11" s="21" customFormat="1">
      <c r="A1279"/>
      <c r="B1279"/>
      <c r="F1279"/>
      <c r="G1279"/>
      <c r="H1279"/>
      <c r="I1279" s="97"/>
      <c r="J1279"/>
      <c r="K1279"/>
    </row>
    <row r="1280" spans="1:11" s="21" customFormat="1">
      <c r="A1280"/>
      <c r="B1280"/>
      <c r="F1280"/>
      <c r="G1280"/>
      <c r="H1280"/>
      <c r="I1280" s="97"/>
      <c r="J1280"/>
      <c r="K1280"/>
    </row>
    <row r="1281" spans="1:11" s="21" customFormat="1">
      <c r="A1281"/>
      <c r="B1281"/>
      <c r="F1281"/>
      <c r="G1281"/>
      <c r="H1281"/>
      <c r="I1281" s="97"/>
      <c r="J1281"/>
      <c r="K1281"/>
    </row>
    <row r="1282" spans="1:11" s="21" customFormat="1">
      <c r="A1282"/>
      <c r="B1282"/>
      <c r="F1282"/>
      <c r="G1282"/>
      <c r="H1282"/>
      <c r="I1282" s="97"/>
      <c r="J1282"/>
      <c r="K1282"/>
    </row>
    <row r="1283" spans="1:11" s="21" customFormat="1">
      <c r="A1283"/>
      <c r="B1283"/>
      <c r="F1283"/>
      <c r="G1283"/>
      <c r="H1283"/>
      <c r="I1283" s="97"/>
      <c r="J1283"/>
      <c r="K1283"/>
    </row>
    <row r="1284" spans="1:11" s="21" customFormat="1">
      <c r="A1284"/>
      <c r="B1284"/>
      <c r="F1284"/>
      <c r="G1284"/>
      <c r="H1284"/>
      <c r="I1284" s="97"/>
      <c r="J1284"/>
      <c r="K1284"/>
    </row>
    <row r="1285" spans="1:11" s="21" customFormat="1">
      <c r="A1285"/>
      <c r="B1285"/>
      <c r="F1285"/>
      <c r="G1285"/>
      <c r="H1285"/>
      <c r="I1285" s="97"/>
      <c r="J1285"/>
      <c r="K1285"/>
    </row>
    <row r="1286" spans="1:11" s="21" customFormat="1">
      <c r="A1286"/>
      <c r="B1286"/>
      <c r="F1286"/>
      <c r="G1286"/>
      <c r="H1286"/>
      <c r="I1286" s="97"/>
      <c r="J1286"/>
      <c r="K1286"/>
    </row>
    <row r="1287" spans="1:11" s="21" customFormat="1">
      <c r="A1287"/>
      <c r="B1287"/>
      <c r="F1287"/>
      <c r="G1287"/>
      <c r="H1287"/>
      <c r="I1287" s="97"/>
      <c r="J1287"/>
      <c r="K1287"/>
    </row>
    <row r="1288" spans="1:11" s="21" customFormat="1">
      <c r="A1288"/>
      <c r="B1288"/>
      <c r="F1288"/>
      <c r="G1288"/>
      <c r="H1288"/>
      <c r="I1288" s="97"/>
      <c r="J1288"/>
      <c r="K1288"/>
    </row>
    <row r="1289" spans="1:11" s="21" customFormat="1">
      <c r="A1289"/>
      <c r="B1289"/>
      <c r="F1289"/>
      <c r="G1289"/>
      <c r="H1289"/>
      <c r="I1289" s="97"/>
      <c r="J1289"/>
      <c r="K1289"/>
    </row>
    <row r="1290" spans="1:11" s="21" customFormat="1">
      <c r="A1290"/>
      <c r="B1290"/>
      <c r="F1290"/>
      <c r="G1290"/>
      <c r="H1290"/>
      <c r="I1290" s="97"/>
      <c r="J1290"/>
      <c r="K1290"/>
    </row>
    <row r="1291" spans="1:11" s="21" customFormat="1">
      <c r="A1291"/>
      <c r="B1291"/>
      <c r="F1291"/>
      <c r="G1291"/>
      <c r="H1291"/>
      <c r="I1291" s="97"/>
      <c r="J1291"/>
      <c r="K1291"/>
    </row>
    <row r="1292" spans="1:11" s="21" customFormat="1">
      <c r="A1292"/>
      <c r="B1292"/>
      <c r="F1292"/>
      <c r="G1292"/>
      <c r="H1292"/>
      <c r="I1292" s="97"/>
      <c r="J1292"/>
      <c r="K1292"/>
    </row>
    <row r="1293" spans="1:11" s="21" customFormat="1">
      <c r="A1293"/>
      <c r="B1293"/>
      <c r="F1293"/>
      <c r="G1293"/>
      <c r="H1293"/>
      <c r="I1293" s="97"/>
      <c r="J1293"/>
      <c r="K1293"/>
    </row>
    <row r="1294" spans="1:11" s="21" customFormat="1">
      <c r="A1294"/>
      <c r="B1294"/>
      <c r="F1294"/>
      <c r="G1294"/>
      <c r="H1294"/>
      <c r="I1294" s="97"/>
      <c r="J1294"/>
      <c r="K1294"/>
    </row>
    <row r="1295" spans="1:11" s="21" customFormat="1">
      <c r="A1295"/>
      <c r="B1295"/>
      <c r="F1295"/>
      <c r="G1295"/>
      <c r="H1295"/>
      <c r="I1295" s="97"/>
      <c r="J1295"/>
      <c r="K1295"/>
    </row>
    <row r="1296" spans="1:11" s="21" customFormat="1">
      <c r="A1296"/>
      <c r="B1296"/>
      <c r="F1296"/>
      <c r="G1296"/>
      <c r="H1296"/>
      <c r="I1296" s="97"/>
      <c r="J1296"/>
      <c r="K1296"/>
    </row>
    <row r="1297" spans="1:11" s="21" customFormat="1">
      <c r="A1297"/>
      <c r="B1297"/>
      <c r="F1297"/>
      <c r="G1297"/>
      <c r="H1297"/>
      <c r="I1297" s="97"/>
      <c r="J1297"/>
      <c r="K1297"/>
    </row>
    <row r="1298" spans="1:11" s="21" customFormat="1">
      <c r="A1298"/>
      <c r="B1298"/>
      <c r="F1298"/>
      <c r="G1298"/>
      <c r="H1298"/>
      <c r="I1298" s="97"/>
      <c r="J1298"/>
      <c r="K1298"/>
    </row>
    <row r="1299" spans="1:11" s="21" customFormat="1">
      <c r="A1299"/>
      <c r="B1299"/>
      <c r="F1299"/>
      <c r="G1299"/>
      <c r="H1299"/>
      <c r="I1299" s="97"/>
      <c r="J1299"/>
      <c r="K1299"/>
    </row>
    <row r="1300" spans="1:11" s="21" customFormat="1">
      <c r="A1300"/>
      <c r="B1300"/>
      <c r="F1300"/>
      <c r="G1300"/>
      <c r="H1300"/>
      <c r="I1300" s="97"/>
      <c r="J1300"/>
      <c r="K1300"/>
    </row>
    <row r="1301" spans="1:11" s="21" customFormat="1">
      <c r="A1301"/>
      <c r="B1301"/>
      <c r="F1301"/>
      <c r="G1301"/>
      <c r="H1301"/>
      <c r="I1301" s="97"/>
      <c r="J1301"/>
      <c r="K1301"/>
    </row>
    <row r="1302" spans="1:11" s="21" customFormat="1">
      <c r="A1302"/>
      <c r="B1302"/>
      <c r="F1302"/>
      <c r="G1302"/>
      <c r="H1302"/>
      <c r="I1302" s="97"/>
      <c r="J1302"/>
      <c r="K1302"/>
    </row>
    <row r="1303" spans="1:11" s="21" customFormat="1">
      <c r="A1303"/>
      <c r="B1303"/>
      <c r="F1303"/>
      <c r="G1303"/>
      <c r="H1303"/>
      <c r="I1303" s="97"/>
      <c r="J1303"/>
      <c r="K1303"/>
    </row>
    <row r="1304" spans="1:11" s="21" customFormat="1">
      <c r="A1304"/>
      <c r="B1304"/>
      <c r="F1304"/>
      <c r="G1304"/>
      <c r="H1304"/>
      <c r="I1304" s="97"/>
      <c r="J1304"/>
      <c r="K1304"/>
    </row>
    <row r="1305" spans="1:11" s="21" customFormat="1">
      <c r="A1305"/>
      <c r="B1305"/>
      <c r="F1305"/>
      <c r="G1305"/>
      <c r="H1305"/>
      <c r="I1305" s="97"/>
      <c r="J1305"/>
      <c r="K1305"/>
    </row>
    <row r="1306" spans="1:11" s="21" customFormat="1">
      <c r="A1306"/>
      <c r="B1306"/>
      <c r="F1306"/>
      <c r="G1306"/>
      <c r="H1306"/>
      <c r="I1306" s="97"/>
      <c r="J1306"/>
      <c r="K1306"/>
    </row>
    <row r="1307" spans="1:11" s="21" customFormat="1">
      <c r="A1307"/>
      <c r="B1307"/>
      <c r="F1307"/>
      <c r="G1307"/>
      <c r="H1307"/>
      <c r="I1307" s="97"/>
      <c r="J1307"/>
      <c r="K1307"/>
    </row>
    <row r="1308" spans="1:11" s="21" customFormat="1">
      <c r="A1308"/>
      <c r="B1308"/>
      <c r="F1308"/>
      <c r="G1308"/>
      <c r="H1308"/>
      <c r="I1308" s="97"/>
      <c r="J1308"/>
      <c r="K1308"/>
    </row>
    <row r="1309" spans="1:11" s="21" customFormat="1">
      <c r="A1309"/>
      <c r="B1309"/>
      <c r="F1309"/>
      <c r="G1309"/>
      <c r="H1309"/>
      <c r="I1309" s="97"/>
      <c r="J1309"/>
      <c r="K1309"/>
    </row>
    <row r="1310" spans="1:11" s="21" customFormat="1">
      <c r="A1310"/>
      <c r="B1310"/>
      <c r="F1310"/>
      <c r="G1310"/>
      <c r="H1310"/>
      <c r="I1310" s="97"/>
      <c r="J1310"/>
      <c r="K1310"/>
    </row>
    <row r="1311" spans="1:11" s="21" customFormat="1">
      <c r="A1311"/>
      <c r="B1311"/>
      <c r="F1311"/>
      <c r="G1311"/>
      <c r="H1311"/>
      <c r="I1311" s="97"/>
      <c r="J1311"/>
      <c r="K1311"/>
    </row>
    <row r="1312" spans="1:11" s="21" customFormat="1">
      <c r="A1312"/>
      <c r="B1312"/>
      <c r="F1312"/>
      <c r="G1312"/>
      <c r="H1312"/>
      <c r="I1312" s="97"/>
      <c r="J1312"/>
      <c r="K1312"/>
    </row>
    <row r="1313" spans="1:11" s="21" customFormat="1">
      <c r="A1313"/>
      <c r="B1313"/>
      <c r="F1313"/>
      <c r="G1313"/>
      <c r="H1313"/>
      <c r="I1313" s="97"/>
      <c r="J1313"/>
      <c r="K1313"/>
    </row>
    <row r="1314" spans="1:11" s="21" customFormat="1">
      <c r="A1314"/>
      <c r="B1314"/>
      <c r="F1314"/>
      <c r="G1314"/>
      <c r="H1314"/>
      <c r="I1314" s="97"/>
      <c r="J1314"/>
      <c r="K1314"/>
    </row>
    <row r="1315" spans="1:11" s="21" customFormat="1">
      <c r="A1315"/>
      <c r="B1315"/>
      <c r="F1315"/>
      <c r="G1315"/>
      <c r="H1315"/>
      <c r="I1315" s="97"/>
      <c r="J1315"/>
      <c r="K1315"/>
    </row>
    <row r="1316" spans="1:11" s="21" customFormat="1">
      <c r="A1316"/>
      <c r="B1316"/>
      <c r="F1316"/>
      <c r="G1316"/>
      <c r="H1316"/>
      <c r="I1316" s="97"/>
      <c r="J1316"/>
      <c r="K1316"/>
    </row>
    <row r="1317" spans="1:11" s="21" customFormat="1">
      <c r="A1317"/>
      <c r="B1317"/>
      <c r="F1317"/>
      <c r="G1317"/>
      <c r="H1317"/>
      <c r="I1317" s="97"/>
      <c r="J1317"/>
      <c r="K1317"/>
    </row>
    <row r="1318" spans="1:11" s="21" customFormat="1">
      <c r="A1318"/>
      <c r="B1318"/>
      <c r="F1318"/>
      <c r="G1318"/>
      <c r="H1318"/>
      <c r="I1318" s="97"/>
      <c r="J1318"/>
      <c r="K1318"/>
    </row>
    <row r="1319" spans="1:11" s="21" customFormat="1">
      <c r="A1319"/>
      <c r="B1319"/>
      <c r="F1319"/>
      <c r="G1319"/>
      <c r="H1319"/>
      <c r="I1319" s="97"/>
      <c r="J1319"/>
      <c r="K1319"/>
    </row>
    <row r="1320" spans="1:11" s="21" customFormat="1">
      <c r="A1320"/>
      <c r="B1320"/>
      <c r="F1320"/>
      <c r="G1320"/>
      <c r="H1320"/>
      <c r="I1320" s="97"/>
      <c r="J1320"/>
      <c r="K1320"/>
    </row>
    <row r="1321" spans="1:11" s="21" customFormat="1">
      <c r="A1321"/>
      <c r="B1321"/>
      <c r="F1321"/>
      <c r="G1321"/>
      <c r="H1321"/>
      <c r="I1321" s="97"/>
      <c r="J1321"/>
      <c r="K1321"/>
    </row>
    <row r="1322" spans="1:11" s="21" customFormat="1">
      <c r="A1322"/>
      <c r="B1322"/>
      <c r="F1322"/>
      <c r="G1322"/>
      <c r="H1322"/>
      <c r="I1322" s="97"/>
      <c r="J1322"/>
      <c r="K1322"/>
    </row>
    <row r="1323" spans="1:11" s="21" customFormat="1">
      <c r="A1323"/>
      <c r="B1323"/>
      <c r="F1323"/>
      <c r="G1323"/>
      <c r="H1323"/>
      <c r="I1323" s="97"/>
      <c r="J1323"/>
      <c r="K1323"/>
    </row>
    <row r="1324" spans="1:11" s="21" customFormat="1">
      <c r="A1324"/>
      <c r="B1324"/>
      <c r="F1324"/>
      <c r="G1324"/>
      <c r="H1324"/>
      <c r="I1324" s="97"/>
      <c r="J1324"/>
      <c r="K1324"/>
    </row>
    <row r="1325" spans="1:11" s="21" customFormat="1">
      <c r="A1325"/>
      <c r="B1325"/>
      <c r="F1325"/>
      <c r="G1325"/>
      <c r="H1325"/>
      <c r="I1325" s="97"/>
      <c r="J1325"/>
      <c r="K1325"/>
    </row>
    <row r="1326" spans="1:11" s="21" customFormat="1">
      <c r="A1326"/>
      <c r="B1326"/>
      <c r="F1326"/>
      <c r="G1326"/>
      <c r="H1326"/>
      <c r="I1326" s="97"/>
      <c r="J1326"/>
      <c r="K1326"/>
    </row>
    <row r="1327" spans="1:11" s="21" customFormat="1">
      <c r="A1327"/>
      <c r="B1327"/>
      <c r="F1327"/>
      <c r="G1327"/>
      <c r="H1327"/>
      <c r="I1327" s="97"/>
      <c r="J1327"/>
      <c r="K1327"/>
    </row>
    <row r="1328" spans="1:11" s="21" customFormat="1">
      <c r="A1328"/>
      <c r="B1328"/>
      <c r="F1328"/>
      <c r="G1328"/>
      <c r="H1328"/>
      <c r="I1328" s="97"/>
      <c r="J1328"/>
      <c r="K1328"/>
    </row>
    <row r="1329" spans="1:11" s="21" customFormat="1">
      <c r="A1329"/>
      <c r="B1329"/>
      <c r="F1329"/>
      <c r="G1329"/>
      <c r="H1329"/>
      <c r="I1329" s="97"/>
      <c r="J1329"/>
      <c r="K1329"/>
    </row>
    <row r="1330" spans="1:11" s="21" customFormat="1">
      <c r="A1330"/>
      <c r="B1330"/>
      <c r="F1330"/>
      <c r="G1330"/>
      <c r="H1330"/>
      <c r="I1330" s="97"/>
      <c r="J1330"/>
      <c r="K1330"/>
    </row>
    <row r="1331" spans="1:11" s="21" customFormat="1">
      <c r="A1331"/>
      <c r="B1331"/>
      <c r="F1331"/>
      <c r="G1331"/>
      <c r="H1331"/>
      <c r="I1331" s="97"/>
      <c r="J1331"/>
      <c r="K1331"/>
    </row>
    <row r="1332" spans="1:11" s="21" customFormat="1">
      <c r="A1332"/>
      <c r="B1332"/>
      <c r="F1332"/>
      <c r="G1332"/>
      <c r="H1332"/>
      <c r="I1332" s="97"/>
      <c r="J1332"/>
      <c r="K1332"/>
    </row>
    <row r="1333" spans="1:11" s="21" customFormat="1">
      <c r="A1333"/>
      <c r="B1333"/>
      <c r="F1333"/>
      <c r="G1333"/>
      <c r="H1333"/>
      <c r="I1333" s="97"/>
      <c r="J1333"/>
      <c r="K1333"/>
    </row>
    <row r="1334" spans="1:11" s="21" customFormat="1">
      <c r="A1334"/>
      <c r="B1334"/>
      <c r="F1334"/>
      <c r="G1334"/>
      <c r="H1334"/>
      <c r="I1334" s="97"/>
      <c r="J1334"/>
      <c r="K1334"/>
    </row>
    <row r="1335" spans="1:11" s="21" customFormat="1">
      <c r="A1335"/>
      <c r="B1335"/>
      <c r="F1335"/>
      <c r="G1335"/>
      <c r="H1335"/>
      <c r="I1335" s="97"/>
      <c r="J1335"/>
      <c r="K1335"/>
    </row>
    <row r="1336" spans="1:11" s="21" customFormat="1">
      <c r="A1336"/>
      <c r="B1336"/>
      <c r="F1336"/>
      <c r="G1336"/>
      <c r="H1336"/>
      <c r="I1336" s="97"/>
      <c r="J1336"/>
      <c r="K1336"/>
    </row>
    <row r="1337" spans="1:11" s="21" customFormat="1">
      <c r="A1337"/>
      <c r="B1337"/>
      <c r="F1337"/>
      <c r="G1337"/>
      <c r="H1337"/>
      <c r="I1337" s="97"/>
      <c r="J1337"/>
      <c r="K1337"/>
    </row>
    <row r="1338" spans="1:11" s="21" customFormat="1">
      <c r="A1338"/>
      <c r="B1338"/>
      <c r="F1338"/>
      <c r="G1338"/>
      <c r="H1338"/>
      <c r="I1338" s="97"/>
      <c r="J1338"/>
      <c r="K1338"/>
    </row>
    <row r="1339" spans="1:11" s="21" customFormat="1">
      <c r="A1339"/>
      <c r="B1339"/>
      <c r="F1339"/>
      <c r="G1339"/>
      <c r="H1339"/>
      <c r="I1339" s="97"/>
      <c r="J1339"/>
      <c r="K1339"/>
    </row>
    <row r="1340" spans="1:11" s="21" customFormat="1">
      <c r="A1340"/>
      <c r="B1340"/>
      <c r="F1340"/>
      <c r="G1340"/>
      <c r="H1340"/>
      <c r="I1340" s="97"/>
      <c r="J1340"/>
      <c r="K1340"/>
    </row>
    <row r="1341" spans="1:11" s="21" customFormat="1">
      <c r="A1341"/>
      <c r="B1341"/>
      <c r="F1341"/>
      <c r="G1341"/>
      <c r="H1341"/>
      <c r="I1341" s="97"/>
      <c r="J1341"/>
      <c r="K1341"/>
    </row>
    <row r="1342" spans="1:11" s="21" customFormat="1">
      <c r="A1342"/>
      <c r="B1342"/>
      <c r="F1342"/>
      <c r="G1342"/>
      <c r="H1342"/>
      <c r="I1342" s="97"/>
      <c r="J1342"/>
      <c r="K1342"/>
    </row>
    <row r="1343" spans="1:11" s="21" customFormat="1">
      <c r="A1343"/>
      <c r="B1343"/>
      <c r="F1343"/>
      <c r="G1343"/>
      <c r="H1343"/>
      <c r="I1343" s="97"/>
      <c r="J1343"/>
      <c r="K1343"/>
    </row>
    <row r="1344" spans="1:11" s="21" customFormat="1">
      <c r="A1344"/>
      <c r="B1344"/>
      <c r="F1344"/>
      <c r="G1344"/>
      <c r="H1344"/>
      <c r="I1344" s="97"/>
      <c r="J1344"/>
      <c r="K1344"/>
    </row>
    <row r="1345" spans="1:11" s="21" customFormat="1">
      <c r="A1345"/>
      <c r="B1345"/>
      <c r="F1345"/>
      <c r="G1345"/>
      <c r="H1345"/>
      <c r="I1345" s="97"/>
      <c r="J1345"/>
      <c r="K1345"/>
    </row>
    <row r="1346" spans="1:11" s="21" customFormat="1">
      <c r="A1346"/>
      <c r="B1346"/>
      <c r="F1346"/>
      <c r="G1346"/>
      <c r="H1346"/>
      <c r="I1346" s="97"/>
      <c r="J1346"/>
      <c r="K1346"/>
    </row>
    <row r="1347" spans="1:11" s="21" customFormat="1">
      <c r="A1347"/>
      <c r="B1347"/>
      <c r="F1347"/>
      <c r="G1347"/>
      <c r="H1347"/>
      <c r="I1347" s="97"/>
      <c r="J1347"/>
      <c r="K1347"/>
    </row>
    <row r="1348" spans="1:11" s="21" customFormat="1">
      <c r="A1348"/>
      <c r="B1348"/>
      <c r="F1348"/>
      <c r="G1348"/>
      <c r="H1348"/>
      <c r="I1348" s="97"/>
      <c r="J1348"/>
      <c r="K1348"/>
    </row>
    <row r="1349" spans="1:11" s="21" customFormat="1">
      <c r="A1349"/>
      <c r="B1349"/>
      <c r="F1349"/>
      <c r="G1349"/>
      <c r="H1349"/>
      <c r="I1349" s="97"/>
      <c r="J1349"/>
      <c r="K1349"/>
    </row>
    <row r="1350" spans="1:11" s="21" customFormat="1">
      <c r="A1350"/>
      <c r="B1350"/>
      <c r="F1350"/>
      <c r="G1350"/>
      <c r="H1350"/>
      <c r="I1350" s="97"/>
      <c r="J1350"/>
      <c r="K1350"/>
    </row>
    <row r="1351" spans="1:11" s="21" customFormat="1">
      <c r="A1351"/>
      <c r="B1351"/>
      <c r="F1351"/>
      <c r="G1351"/>
      <c r="H1351"/>
      <c r="I1351" s="97"/>
      <c r="J1351"/>
      <c r="K1351"/>
    </row>
    <row r="1352" spans="1:11" s="21" customFormat="1">
      <c r="A1352"/>
      <c r="B1352"/>
      <c r="F1352"/>
      <c r="G1352"/>
      <c r="H1352"/>
      <c r="I1352" s="97"/>
      <c r="J1352"/>
      <c r="K1352"/>
    </row>
    <row r="1353" spans="1:11" s="21" customFormat="1">
      <c r="A1353"/>
      <c r="B1353"/>
      <c r="F1353"/>
      <c r="G1353"/>
      <c r="H1353"/>
      <c r="I1353" s="97"/>
      <c r="J1353"/>
      <c r="K1353"/>
    </row>
    <row r="1354" spans="1:11" s="21" customFormat="1">
      <c r="A1354"/>
      <c r="B1354"/>
      <c r="F1354"/>
      <c r="G1354"/>
      <c r="H1354"/>
      <c r="I1354" s="97"/>
      <c r="J1354"/>
      <c r="K1354"/>
    </row>
    <row r="1355" spans="1:11" s="21" customFormat="1">
      <c r="A1355"/>
      <c r="B1355"/>
      <c r="F1355"/>
      <c r="G1355"/>
      <c r="H1355"/>
      <c r="I1355" s="97"/>
      <c r="J1355"/>
      <c r="K1355"/>
    </row>
    <row r="1356" spans="1:11" s="21" customFormat="1">
      <c r="A1356"/>
      <c r="B1356"/>
      <c r="F1356"/>
      <c r="G1356"/>
      <c r="H1356"/>
      <c r="I1356" s="97"/>
      <c r="J1356"/>
      <c r="K1356"/>
    </row>
    <row r="1357" spans="1:11" s="21" customFormat="1">
      <c r="A1357"/>
      <c r="B1357"/>
      <c r="F1357"/>
      <c r="G1357"/>
      <c r="H1357"/>
      <c r="I1357" s="97"/>
      <c r="J1357"/>
      <c r="K1357"/>
    </row>
    <row r="1358" spans="1:11" s="21" customFormat="1">
      <c r="A1358"/>
      <c r="B1358"/>
      <c r="F1358"/>
      <c r="G1358"/>
      <c r="H1358"/>
      <c r="I1358" s="97"/>
      <c r="J1358"/>
      <c r="K1358"/>
    </row>
    <row r="1359" spans="1:11" s="21" customFormat="1">
      <c r="A1359"/>
      <c r="B1359"/>
      <c r="F1359"/>
      <c r="G1359"/>
      <c r="H1359"/>
      <c r="I1359" s="97"/>
      <c r="J1359"/>
      <c r="K1359"/>
    </row>
    <row r="1360" spans="1:11" s="21" customFormat="1">
      <c r="A1360"/>
      <c r="B1360"/>
      <c r="F1360"/>
      <c r="G1360"/>
      <c r="H1360"/>
      <c r="I1360" s="97"/>
      <c r="J1360"/>
      <c r="K1360"/>
    </row>
    <row r="1361" spans="1:11" s="21" customFormat="1">
      <c r="A1361"/>
      <c r="B1361"/>
      <c r="F1361"/>
      <c r="G1361"/>
      <c r="H1361"/>
      <c r="I1361" s="97"/>
      <c r="J1361"/>
      <c r="K1361"/>
    </row>
    <row r="1362" spans="1:11" s="21" customFormat="1">
      <c r="A1362"/>
      <c r="B1362"/>
      <c r="F1362"/>
      <c r="G1362"/>
      <c r="H1362"/>
      <c r="I1362" s="97"/>
      <c r="J1362"/>
      <c r="K1362"/>
    </row>
    <row r="1363" spans="1:11" s="21" customFormat="1">
      <c r="A1363"/>
      <c r="B1363"/>
      <c r="F1363"/>
      <c r="G1363"/>
      <c r="H1363"/>
      <c r="I1363" s="97"/>
      <c r="J1363"/>
      <c r="K1363"/>
    </row>
    <row r="1364" spans="1:11" s="21" customFormat="1">
      <c r="A1364"/>
      <c r="B1364"/>
      <c r="F1364"/>
      <c r="G1364"/>
      <c r="H1364"/>
      <c r="I1364" s="97"/>
      <c r="J1364"/>
      <c r="K1364"/>
    </row>
    <row r="1365" spans="1:11" s="21" customFormat="1">
      <c r="A1365"/>
      <c r="B1365"/>
      <c r="F1365"/>
      <c r="G1365"/>
      <c r="H1365"/>
      <c r="I1365" s="97"/>
      <c r="J1365"/>
      <c r="K1365"/>
    </row>
    <row r="1366" spans="1:11" s="21" customFormat="1">
      <c r="A1366"/>
      <c r="B1366"/>
      <c r="F1366"/>
      <c r="G1366"/>
      <c r="H1366"/>
      <c r="I1366" s="97"/>
      <c r="J1366"/>
      <c r="K1366"/>
    </row>
    <row r="1367" spans="1:11" s="21" customFormat="1">
      <c r="A1367"/>
      <c r="B1367"/>
      <c r="F1367"/>
      <c r="G1367"/>
      <c r="H1367"/>
      <c r="I1367" s="97"/>
      <c r="J1367"/>
      <c r="K1367"/>
    </row>
    <row r="1368" spans="1:11" s="21" customFormat="1">
      <c r="A1368"/>
      <c r="B1368"/>
      <c r="F1368"/>
      <c r="G1368"/>
      <c r="H1368"/>
      <c r="I1368" s="97"/>
      <c r="J1368"/>
      <c r="K1368"/>
    </row>
    <row r="1369" spans="1:11" s="21" customFormat="1">
      <c r="A1369"/>
      <c r="B1369"/>
      <c r="F1369"/>
      <c r="G1369"/>
      <c r="H1369"/>
      <c r="I1369" s="97"/>
      <c r="J1369"/>
      <c r="K1369"/>
    </row>
    <row r="1370" spans="1:11" s="21" customFormat="1">
      <c r="A1370"/>
      <c r="B1370"/>
      <c r="F1370"/>
      <c r="G1370"/>
      <c r="H1370"/>
      <c r="I1370" s="97"/>
      <c r="J1370"/>
      <c r="K1370"/>
    </row>
    <row r="1371" spans="1:11" s="21" customFormat="1">
      <c r="A1371"/>
      <c r="B1371"/>
      <c r="F1371"/>
      <c r="G1371"/>
      <c r="H1371"/>
      <c r="I1371" s="97"/>
      <c r="J1371"/>
      <c r="K1371"/>
    </row>
    <row r="1372" spans="1:11" s="21" customFormat="1">
      <c r="A1372"/>
      <c r="B1372"/>
      <c r="F1372"/>
      <c r="G1372"/>
      <c r="H1372"/>
      <c r="I1372" s="97"/>
      <c r="J1372"/>
      <c r="K1372"/>
    </row>
    <row r="1373" spans="1:11" s="21" customFormat="1">
      <c r="A1373"/>
      <c r="B1373"/>
      <c r="F1373"/>
      <c r="G1373"/>
      <c r="H1373"/>
      <c r="I1373" s="97"/>
      <c r="J1373"/>
      <c r="K1373"/>
    </row>
    <row r="1374" spans="1:11" s="21" customFormat="1">
      <c r="A1374"/>
      <c r="B1374"/>
      <c r="F1374"/>
      <c r="G1374"/>
      <c r="H1374"/>
      <c r="I1374" s="97"/>
      <c r="J1374"/>
      <c r="K1374"/>
    </row>
    <row r="1375" spans="1:11" s="21" customFormat="1">
      <c r="A1375"/>
      <c r="B1375"/>
      <c r="F1375"/>
      <c r="G1375"/>
      <c r="H1375"/>
      <c r="I1375" s="97"/>
      <c r="J1375"/>
      <c r="K1375"/>
    </row>
    <row r="1376" spans="1:11" s="21" customFormat="1">
      <c r="A1376"/>
      <c r="B1376"/>
      <c r="F1376"/>
      <c r="G1376"/>
      <c r="H1376"/>
      <c r="I1376" s="97"/>
      <c r="J1376"/>
      <c r="K1376"/>
    </row>
    <row r="1377" spans="1:11" s="21" customFormat="1">
      <c r="A1377"/>
      <c r="B1377"/>
      <c r="F1377"/>
      <c r="G1377"/>
      <c r="H1377"/>
      <c r="I1377" s="97"/>
      <c r="J1377"/>
      <c r="K1377"/>
    </row>
    <row r="1378" spans="1:11" s="21" customFormat="1">
      <c r="A1378"/>
      <c r="B1378"/>
      <c r="F1378"/>
      <c r="G1378"/>
      <c r="H1378"/>
      <c r="I1378" s="97"/>
      <c r="J1378"/>
      <c r="K1378"/>
    </row>
    <row r="1379" spans="1:11" s="21" customFormat="1">
      <c r="A1379"/>
      <c r="B1379"/>
      <c r="F1379"/>
      <c r="G1379"/>
      <c r="H1379"/>
      <c r="I1379" s="97"/>
      <c r="J1379"/>
      <c r="K1379"/>
    </row>
    <row r="1380" spans="1:11" s="21" customFormat="1">
      <c r="A1380"/>
      <c r="B1380"/>
      <c r="F1380"/>
      <c r="G1380"/>
      <c r="H1380"/>
      <c r="I1380" s="97"/>
      <c r="J1380"/>
      <c r="K1380"/>
    </row>
    <row r="1381" spans="1:11" s="21" customFormat="1">
      <c r="A1381"/>
      <c r="B1381"/>
      <c r="F1381"/>
      <c r="G1381"/>
      <c r="H1381"/>
      <c r="I1381" s="97"/>
      <c r="J1381"/>
      <c r="K1381"/>
    </row>
    <row r="1382" spans="1:11" s="21" customFormat="1">
      <c r="A1382"/>
      <c r="B1382"/>
      <c r="F1382"/>
      <c r="G1382"/>
      <c r="H1382"/>
      <c r="I1382" s="97"/>
      <c r="J1382"/>
      <c r="K1382"/>
    </row>
    <row r="1383" spans="1:11" s="21" customFormat="1">
      <c r="A1383"/>
      <c r="B1383"/>
      <c r="F1383"/>
      <c r="G1383"/>
      <c r="H1383"/>
      <c r="I1383" s="97"/>
      <c r="J1383"/>
      <c r="K1383"/>
    </row>
    <row r="1384" spans="1:11" s="21" customFormat="1">
      <c r="A1384"/>
      <c r="B1384"/>
      <c r="F1384"/>
      <c r="G1384"/>
      <c r="H1384"/>
      <c r="I1384" s="97"/>
      <c r="J1384"/>
      <c r="K1384"/>
    </row>
    <row r="1385" spans="1:11" s="21" customFormat="1">
      <c r="A1385"/>
      <c r="B1385"/>
      <c r="F1385"/>
      <c r="G1385"/>
      <c r="H1385"/>
      <c r="I1385" s="97"/>
      <c r="J1385"/>
      <c r="K1385"/>
    </row>
    <row r="1386" spans="1:11" s="21" customFormat="1">
      <c r="A1386"/>
      <c r="B1386"/>
      <c r="F1386"/>
      <c r="G1386"/>
      <c r="H1386"/>
      <c r="I1386" s="97"/>
      <c r="J1386"/>
      <c r="K1386"/>
    </row>
    <row r="1387" spans="1:11" s="21" customFormat="1">
      <c r="A1387"/>
      <c r="B1387"/>
      <c r="F1387"/>
      <c r="G1387"/>
      <c r="H1387"/>
      <c r="I1387" s="97"/>
      <c r="J1387"/>
      <c r="K1387"/>
    </row>
    <row r="1388" spans="1:11" s="21" customFormat="1">
      <c r="A1388"/>
      <c r="B1388"/>
      <c r="F1388"/>
      <c r="G1388"/>
      <c r="H1388"/>
      <c r="I1388" s="97"/>
      <c r="J1388"/>
      <c r="K1388"/>
    </row>
    <row r="1389" spans="1:11" s="21" customFormat="1">
      <c r="A1389"/>
      <c r="B1389"/>
      <c r="F1389"/>
      <c r="G1389"/>
      <c r="H1389"/>
      <c r="I1389" s="97"/>
      <c r="J1389"/>
      <c r="K1389"/>
    </row>
    <row r="1390" spans="1:11" s="21" customFormat="1">
      <c r="A1390"/>
      <c r="B1390"/>
      <c r="F1390"/>
      <c r="G1390"/>
      <c r="H1390"/>
      <c r="I1390" s="97"/>
      <c r="J1390"/>
      <c r="K1390"/>
    </row>
    <row r="1391" spans="1:11" s="21" customFormat="1">
      <c r="A1391"/>
      <c r="B1391"/>
      <c r="F1391"/>
      <c r="G1391"/>
      <c r="H1391"/>
      <c r="I1391" s="97"/>
      <c r="J1391"/>
      <c r="K1391"/>
    </row>
    <row r="1392" spans="1:11" s="21" customFormat="1">
      <c r="A1392"/>
      <c r="B1392"/>
      <c r="F1392"/>
      <c r="G1392"/>
      <c r="H1392"/>
      <c r="I1392" s="97"/>
      <c r="J1392"/>
      <c r="K1392"/>
    </row>
    <row r="1393" spans="1:11" s="21" customFormat="1">
      <c r="A1393"/>
      <c r="B1393"/>
      <c r="F1393"/>
      <c r="G1393"/>
      <c r="H1393"/>
      <c r="I1393" s="97"/>
      <c r="J1393"/>
      <c r="K1393"/>
    </row>
    <row r="1394" spans="1:11" s="21" customFormat="1">
      <c r="A1394"/>
      <c r="B1394"/>
      <c r="F1394"/>
      <c r="G1394"/>
      <c r="H1394"/>
      <c r="I1394" s="97"/>
      <c r="J1394"/>
      <c r="K1394"/>
    </row>
    <row r="1395" spans="1:11" s="21" customFormat="1">
      <c r="A1395"/>
      <c r="B1395"/>
      <c r="F1395"/>
      <c r="G1395"/>
      <c r="H1395"/>
      <c r="I1395" s="97"/>
      <c r="J1395"/>
      <c r="K1395"/>
    </row>
    <row r="1396" spans="1:11" s="21" customFormat="1">
      <c r="A1396"/>
      <c r="B1396"/>
      <c r="F1396"/>
      <c r="G1396"/>
      <c r="H1396"/>
      <c r="I1396" s="97"/>
      <c r="J1396"/>
      <c r="K1396"/>
    </row>
    <row r="1397" spans="1:11" s="21" customFormat="1">
      <c r="A1397"/>
      <c r="B1397"/>
      <c r="F1397"/>
      <c r="G1397"/>
      <c r="H1397"/>
      <c r="I1397" s="97"/>
      <c r="J1397"/>
      <c r="K1397"/>
    </row>
    <row r="1398" spans="1:11" s="21" customFormat="1">
      <c r="A1398"/>
      <c r="B1398"/>
      <c r="F1398"/>
      <c r="G1398"/>
      <c r="H1398"/>
      <c r="I1398" s="97"/>
      <c r="J1398"/>
      <c r="K1398"/>
    </row>
    <row r="1399" spans="1:11" s="21" customFormat="1">
      <c r="A1399"/>
      <c r="B1399"/>
      <c r="F1399"/>
      <c r="G1399"/>
      <c r="H1399"/>
      <c r="I1399" s="97"/>
      <c r="J1399"/>
      <c r="K1399"/>
    </row>
    <row r="1400" spans="1:11" s="21" customFormat="1">
      <c r="A1400"/>
      <c r="B1400"/>
      <c r="F1400"/>
      <c r="G1400"/>
      <c r="H1400"/>
      <c r="I1400" s="97"/>
      <c r="J1400"/>
      <c r="K1400"/>
    </row>
    <row r="1401" spans="1:11" s="21" customFormat="1">
      <c r="A1401"/>
      <c r="B1401"/>
      <c r="F1401"/>
      <c r="G1401"/>
      <c r="H1401"/>
      <c r="I1401" s="97"/>
      <c r="J1401"/>
      <c r="K1401"/>
    </row>
    <row r="1402" spans="1:11" s="21" customFormat="1">
      <c r="A1402"/>
      <c r="B1402"/>
      <c r="F1402"/>
      <c r="G1402"/>
      <c r="H1402"/>
      <c r="I1402" s="97"/>
      <c r="J1402"/>
      <c r="K1402"/>
    </row>
    <row r="1403" spans="1:11" s="21" customFormat="1">
      <c r="A1403"/>
      <c r="B1403"/>
      <c r="F1403"/>
      <c r="G1403"/>
      <c r="H1403"/>
      <c r="I1403" s="97"/>
      <c r="J1403"/>
      <c r="K1403"/>
    </row>
    <row r="1404" spans="1:11" s="21" customFormat="1">
      <c r="A1404"/>
      <c r="B1404"/>
      <c r="F1404"/>
      <c r="G1404"/>
      <c r="H1404"/>
      <c r="I1404" s="97"/>
      <c r="J1404"/>
      <c r="K1404"/>
    </row>
    <row r="1405" spans="1:11" s="21" customFormat="1">
      <c r="A1405"/>
      <c r="B1405"/>
      <c r="F1405"/>
      <c r="G1405"/>
      <c r="H1405"/>
      <c r="I1405" s="97"/>
      <c r="J1405"/>
      <c r="K1405"/>
    </row>
    <row r="1406" spans="1:11" s="21" customFormat="1">
      <c r="A1406"/>
      <c r="B1406"/>
      <c r="F1406"/>
      <c r="G1406"/>
      <c r="H1406"/>
      <c r="I1406" s="97"/>
      <c r="J1406"/>
      <c r="K1406"/>
    </row>
    <row r="1407" spans="1:11" s="21" customFormat="1">
      <c r="A1407"/>
      <c r="B1407"/>
      <c r="F1407"/>
      <c r="G1407"/>
      <c r="H1407"/>
      <c r="I1407" s="97"/>
      <c r="J1407"/>
      <c r="K1407"/>
    </row>
    <row r="1408" spans="1:11" s="21" customFormat="1">
      <c r="A1408"/>
      <c r="B1408"/>
      <c r="F1408"/>
      <c r="G1408"/>
      <c r="H1408"/>
      <c r="I1408" s="97"/>
      <c r="J1408"/>
      <c r="K1408"/>
    </row>
    <row r="1409" spans="1:11" s="21" customFormat="1">
      <c r="A1409"/>
      <c r="B1409"/>
      <c r="F1409"/>
      <c r="G1409"/>
      <c r="H1409"/>
      <c r="I1409" s="97"/>
      <c r="J1409"/>
      <c r="K1409"/>
    </row>
    <row r="1410" spans="1:11" s="21" customFormat="1">
      <c r="A1410"/>
      <c r="B1410"/>
      <c r="F1410"/>
      <c r="G1410"/>
      <c r="H1410"/>
      <c r="I1410" s="97"/>
      <c r="J1410"/>
      <c r="K1410"/>
    </row>
    <row r="1411" spans="1:11" s="21" customFormat="1">
      <c r="A1411"/>
      <c r="B1411"/>
      <c r="F1411"/>
      <c r="G1411"/>
      <c r="H1411"/>
      <c r="I1411" s="97"/>
      <c r="J1411"/>
      <c r="K1411"/>
    </row>
    <row r="1412" spans="1:11" s="21" customFormat="1">
      <c r="A1412"/>
      <c r="B1412"/>
      <c r="F1412"/>
      <c r="G1412"/>
      <c r="H1412"/>
      <c r="I1412" s="97"/>
      <c r="J1412"/>
      <c r="K1412"/>
    </row>
    <row r="1413" spans="1:11" s="21" customFormat="1">
      <c r="A1413"/>
      <c r="B1413"/>
      <c r="F1413"/>
      <c r="G1413"/>
      <c r="H1413"/>
      <c r="I1413" s="97"/>
      <c r="J1413"/>
      <c r="K1413"/>
    </row>
    <row r="1414" spans="1:11" s="21" customFormat="1">
      <c r="A1414"/>
      <c r="B1414"/>
      <c r="F1414"/>
      <c r="G1414"/>
      <c r="H1414"/>
      <c r="I1414" s="97"/>
      <c r="J1414"/>
      <c r="K1414"/>
    </row>
    <row r="1415" spans="1:11" s="21" customFormat="1">
      <c r="A1415"/>
      <c r="B1415"/>
      <c r="F1415"/>
      <c r="G1415"/>
      <c r="H1415"/>
      <c r="I1415" s="97"/>
      <c r="J1415"/>
      <c r="K1415"/>
    </row>
    <row r="1416" spans="1:11" s="21" customFormat="1">
      <c r="A1416"/>
      <c r="B1416"/>
      <c r="F1416"/>
      <c r="G1416"/>
      <c r="H1416"/>
      <c r="I1416" s="97"/>
      <c r="J1416"/>
      <c r="K1416"/>
    </row>
    <row r="1417" spans="1:11" s="21" customFormat="1">
      <c r="A1417"/>
      <c r="B1417"/>
      <c r="F1417"/>
      <c r="G1417"/>
      <c r="H1417"/>
      <c r="I1417" s="97"/>
      <c r="J1417"/>
      <c r="K1417"/>
    </row>
    <row r="1418" spans="1:11" s="21" customFormat="1">
      <c r="A1418"/>
      <c r="B1418"/>
      <c r="F1418"/>
      <c r="G1418"/>
      <c r="H1418"/>
      <c r="I1418" s="97"/>
      <c r="J1418"/>
      <c r="K1418"/>
    </row>
    <row r="1419" spans="1:11" s="21" customFormat="1">
      <c r="A1419"/>
      <c r="B1419"/>
      <c r="F1419"/>
      <c r="G1419"/>
      <c r="H1419"/>
      <c r="I1419" s="97"/>
      <c r="J1419"/>
      <c r="K1419"/>
    </row>
    <row r="1420" spans="1:11" s="21" customFormat="1">
      <c r="A1420"/>
      <c r="B1420"/>
      <c r="F1420"/>
      <c r="G1420"/>
      <c r="H1420"/>
      <c r="I1420" s="97"/>
      <c r="J1420"/>
      <c r="K1420"/>
    </row>
    <row r="1421" spans="1:11" s="21" customFormat="1">
      <c r="A1421"/>
      <c r="B1421"/>
      <c r="F1421"/>
      <c r="G1421"/>
      <c r="H1421"/>
      <c r="I1421" s="97"/>
      <c r="J1421"/>
      <c r="K1421"/>
    </row>
    <row r="1422" spans="1:11" s="21" customFormat="1">
      <c r="A1422"/>
      <c r="B1422"/>
      <c r="F1422"/>
      <c r="G1422"/>
      <c r="H1422"/>
      <c r="I1422" s="97"/>
      <c r="J1422"/>
      <c r="K1422"/>
    </row>
    <row r="1423" spans="1:11" s="21" customFormat="1">
      <c r="A1423"/>
      <c r="B1423"/>
      <c r="F1423"/>
      <c r="G1423"/>
      <c r="H1423"/>
      <c r="I1423" s="97"/>
      <c r="J1423"/>
      <c r="K1423"/>
    </row>
    <row r="1424" spans="1:11" s="21" customFormat="1">
      <c r="A1424"/>
      <c r="B1424"/>
      <c r="F1424"/>
      <c r="G1424"/>
      <c r="H1424"/>
      <c r="I1424" s="97"/>
      <c r="J1424"/>
      <c r="K1424"/>
    </row>
    <row r="1425" spans="1:11" s="21" customFormat="1">
      <c r="A1425"/>
      <c r="B1425"/>
      <c r="F1425"/>
      <c r="G1425"/>
      <c r="H1425"/>
      <c r="I1425" s="97"/>
      <c r="J1425"/>
      <c r="K1425"/>
    </row>
    <row r="1426" spans="1:11" s="21" customFormat="1">
      <c r="A1426"/>
      <c r="B1426"/>
      <c r="F1426"/>
      <c r="G1426"/>
      <c r="H1426"/>
      <c r="I1426" s="97"/>
      <c r="J1426"/>
      <c r="K1426"/>
    </row>
    <row r="1427" spans="1:11" s="21" customFormat="1">
      <c r="A1427"/>
      <c r="B1427"/>
      <c r="F1427"/>
      <c r="G1427"/>
      <c r="H1427"/>
      <c r="I1427" s="97"/>
      <c r="J1427"/>
      <c r="K1427"/>
    </row>
    <row r="1428" spans="1:11" s="21" customFormat="1">
      <c r="A1428"/>
      <c r="B1428"/>
      <c r="F1428"/>
      <c r="G1428"/>
      <c r="H1428"/>
      <c r="I1428" s="97"/>
      <c r="J1428"/>
      <c r="K1428"/>
    </row>
    <row r="1429" spans="1:11" s="21" customFormat="1">
      <c r="A1429"/>
      <c r="B1429"/>
      <c r="F1429"/>
      <c r="G1429"/>
      <c r="H1429"/>
      <c r="I1429" s="97"/>
      <c r="J1429"/>
      <c r="K1429"/>
    </row>
    <row r="1430" spans="1:11" s="21" customFormat="1">
      <c r="A1430"/>
      <c r="B1430"/>
      <c r="F1430"/>
      <c r="G1430"/>
      <c r="H1430"/>
      <c r="I1430" s="97"/>
      <c r="J1430"/>
      <c r="K1430"/>
    </row>
    <row r="1431" spans="1:11" s="21" customFormat="1">
      <c r="A1431"/>
      <c r="B1431"/>
      <c r="F1431"/>
      <c r="G1431"/>
      <c r="H1431"/>
      <c r="I1431" s="97"/>
      <c r="J1431"/>
      <c r="K1431"/>
    </row>
    <row r="1432" spans="1:11" s="21" customFormat="1">
      <c r="A1432"/>
      <c r="B1432"/>
      <c r="F1432"/>
      <c r="G1432"/>
      <c r="H1432"/>
      <c r="I1432" s="97"/>
      <c r="J1432"/>
      <c r="K1432"/>
    </row>
    <row r="1433" spans="1:11" s="21" customFormat="1">
      <c r="A1433"/>
      <c r="B1433"/>
      <c r="F1433"/>
      <c r="G1433"/>
      <c r="H1433"/>
      <c r="I1433" s="97"/>
      <c r="J1433"/>
      <c r="K1433"/>
    </row>
    <row r="1434" spans="1:11" s="21" customFormat="1">
      <c r="A1434"/>
      <c r="B1434"/>
      <c r="F1434"/>
      <c r="G1434"/>
      <c r="H1434"/>
      <c r="I1434" s="97"/>
      <c r="J1434"/>
      <c r="K1434"/>
    </row>
    <row r="1435" spans="1:11" s="21" customFormat="1">
      <c r="A1435"/>
      <c r="B1435"/>
      <c r="F1435"/>
      <c r="G1435"/>
      <c r="H1435"/>
      <c r="I1435" s="97"/>
      <c r="J1435"/>
      <c r="K1435"/>
    </row>
    <row r="1436" spans="1:11" s="21" customFormat="1">
      <c r="A1436"/>
      <c r="B1436"/>
      <c r="F1436"/>
      <c r="G1436"/>
      <c r="H1436"/>
      <c r="I1436" s="97"/>
      <c r="J1436"/>
      <c r="K1436"/>
    </row>
    <row r="1437" spans="1:11" s="21" customFormat="1">
      <c r="A1437"/>
      <c r="B1437"/>
      <c r="F1437"/>
      <c r="G1437"/>
      <c r="H1437"/>
      <c r="I1437" s="97"/>
      <c r="J1437"/>
      <c r="K1437"/>
    </row>
    <row r="1438" spans="1:11" s="21" customFormat="1">
      <c r="A1438"/>
      <c r="B1438"/>
      <c r="F1438"/>
      <c r="G1438"/>
      <c r="H1438"/>
      <c r="I1438" s="97"/>
      <c r="J1438"/>
      <c r="K1438"/>
    </row>
    <row r="1439" spans="1:11" s="21" customFormat="1">
      <c r="A1439"/>
      <c r="B1439"/>
      <c r="F1439"/>
      <c r="G1439"/>
      <c r="H1439"/>
      <c r="I1439" s="97"/>
      <c r="J1439"/>
      <c r="K1439"/>
    </row>
    <row r="1440" spans="1:11" s="21" customFormat="1">
      <c r="A1440"/>
      <c r="B1440"/>
      <c r="F1440"/>
      <c r="G1440"/>
      <c r="H1440"/>
      <c r="I1440" s="97"/>
      <c r="J1440"/>
      <c r="K1440"/>
    </row>
    <row r="1441" spans="1:11" s="21" customFormat="1">
      <c r="A1441"/>
      <c r="B1441"/>
      <c r="F1441"/>
      <c r="G1441"/>
      <c r="H1441"/>
      <c r="I1441" s="97"/>
      <c r="J1441"/>
      <c r="K1441"/>
    </row>
    <row r="1442" spans="1:11" s="21" customFormat="1">
      <c r="A1442"/>
      <c r="B1442"/>
      <c r="F1442"/>
      <c r="G1442"/>
      <c r="H1442"/>
      <c r="I1442" s="97"/>
      <c r="J1442"/>
      <c r="K1442"/>
    </row>
    <row r="1443" spans="1:11" s="21" customFormat="1">
      <c r="A1443"/>
      <c r="B1443"/>
      <c r="F1443"/>
      <c r="G1443"/>
      <c r="H1443"/>
      <c r="I1443" s="97"/>
      <c r="J1443"/>
      <c r="K1443"/>
    </row>
    <row r="1444" spans="1:11" s="21" customFormat="1">
      <c r="A1444"/>
      <c r="B1444"/>
      <c r="F1444"/>
      <c r="G1444"/>
      <c r="H1444"/>
      <c r="I1444" s="97"/>
      <c r="J1444"/>
      <c r="K1444"/>
    </row>
    <row r="1445" spans="1:11" s="21" customFormat="1">
      <c r="A1445"/>
      <c r="B1445"/>
      <c r="F1445"/>
      <c r="G1445"/>
      <c r="H1445"/>
      <c r="I1445" s="97"/>
      <c r="J1445"/>
      <c r="K1445"/>
    </row>
    <row r="1446" spans="1:11" s="21" customFormat="1">
      <c r="A1446"/>
      <c r="B1446"/>
      <c r="F1446"/>
      <c r="G1446"/>
      <c r="H1446"/>
      <c r="I1446" s="97"/>
      <c r="J1446"/>
      <c r="K1446"/>
    </row>
    <row r="1447" spans="1:11" s="21" customFormat="1">
      <c r="A1447"/>
      <c r="B1447"/>
      <c r="F1447"/>
      <c r="G1447"/>
      <c r="H1447"/>
      <c r="I1447" s="97"/>
      <c r="J1447"/>
      <c r="K1447"/>
    </row>
    <row r="1448" spans="1:11" s="21" customFormat="1">
      <c r="A1448"/>
      <c r="B1448"/>
      <c r="F1448"/>
      <c r="G1448"/>
      <c r="H1448"/>
      <c r="I1448" s="97"/>
      <c r="J1448"/>
      <c r="K1448"/>
    </row>
    <row r="1449" spans="1:11" s="21" customFormat="1">
      <c r="A1449"/>
      <c r="B1449"/>
      <c r="F1449"/>
      <c r="G1449"/>
      <c r="H1449"/>
      <c r="I1449" s="97"/>
      <c r="J1449"/>
      <c r="K1449"/>
    </row>
    <row r="1450" spans="1:11" s="21" customFormat="1">
      <c r="A1450"/>
      <c r="B1450"/>
      <c r="F1450"/>
      <c r="G1450"/>
      <c r="H1450"/>
      <c r="I1450" s="97"/>
      <c r="J1450"/>
      <c r="K1450"/>
    </row>
    <row r="1451" spans="1:11" s="21" customFormat="1">
      <c r="A1451"/>
      <c r="B1451"/>
      <c r="F1451"/>
      <c r="G1451"/>
      <c r="H1451"/>
      <c r="I1451" s="97"/>
      <c r="J1451"/>
      <c r="K1451"/>
    </row>
    <row r="1452" spans="1:11" s="21" customFormat="1">
      <c r="A1452"/>
      <c r="B1452"/>
      <c r="F1452"/>
      <c r="G1452"/>
      <c r="H1452"/>
      <c r="I1452" s="97"/>
      <c r="J1452"/>
      <c r="K1452"/>
    </row>
    <row r="1453" spans="1:11" s="21" customFormat="1">
      <c r="A1453"/>
      <c r="B1453"/>
      <c r="F1453"/>
      <c r="G1453"/>
      <c r="H1453"/>
      <c r="I1453" s="97"/>
      <c r="J1453"/>
      <c r="K1453"/>
    </row>
    <row r="1454" spans="1:11" s="21" customFormat="1">
      <c r="A1454"/>
      <c r="B1454"/>
      <c r="F1454"/>
      <c r="G1454"/>
      <c r="H1454"/>
      <c r="I1454" s="97"/>
      <c r="J1454"/>
      <c r="K1454"/>
    </row>
    <row r="1455" spans="1:11" s="21" customFormat="1">
      <c r="A1455"/>
      <c r="B1455"/>
      <c r="F1455"/>
      <c r="G1455"/>
      <c r="H1455"/>
      <c r="I1455" s="97"/>
      <c r="J1455"/>
      <c r="K1455"/>
    </row>
    <row r="1456" spans="1:11" s="21" customFormat="1">
      <c r="A1456"/>
      <c r="B1456"/>
      <c r="F1456"/>
      <c r="G1456"/>
      <c r="H1456"/>
      <c r="I1456" s="97"/>
      <c r="J1456"/>
      <c r="K1456"/>
    </row>
    <row r="1457" spans="1:11" s="21" customFormat="1">
      <c r="A1457"/>
      <c r="B1457"/>
      <c r="F1457"/>
      <c r="G1457"/>
      <c r="H1457"/>
      <c r="I1457" s="97"/>
      <c r="J1457"/>
      <c r="K1457"/>
    </row>
    <row r="1458" spans="1:11" s="21" customFormat="1">
      <c r="A1458"/>
      <c r="B1458"/>
      <c r="F1458"/>
      <c r="G1458"/>
      <c r="H1458"/>
      <c r="I1458" s="97"/>
      <c r="J1458"/>
      <c r="K1458"/>
    </row>
    <row r="1459" spans="1:11" s="21" customFormat="1">
      <c r="A1459"/>
      <c r="B1459"/>
      <c r="F1459"/>
      <c r="G1459"/>
      <c r="H1459"/>
      <c r="I1459" s="97"/>
      <c r="J1459"/>
      <c r="K1459"/>
    </row>
    <row r="1460" spans="1:11" s="21" customFormat="1">
      <c r="A1460"/>
      <c r="B1460"/>
      <c r="F1460"/>
      <c r="G1460"/>
      <c r="H1460"/>
      <c r="I1460" s="97"/>
      <c r="J1460"/>
      <c r="K1460"/>
    </row>
    <row r="1461" spans="1:11" s="21" customFormat="1">
      <c r="A1461"/>
      <c r="B1461"/>
      <c r="F1461"/>
      <c r="G1461"/>
      <c r="H1461"/>
      <c r="I1461" s="97"/>
      <c r="J1461"/>
      <c r="K1461"/>
    </row>
    <row r="1462" spans="1:11" s="21" customFormat="1">
      <c r="A1462"/>
      <c r="B1462"/>
      <c r="F1462"/>
      <c r="G1462"/>
      <c r="H1462"/>
      <c r="I1462" s="97"/>
      <c r="J1462"/>
      <c r="K1462"/>
    </row>
    <row r="1463" spans="1:11" s="21" customFormat="1">
      <c r="A1463"/>
      <c r="B1463"/>
      <c r="F1463"/>
      <c r="G1463"/>
      <c r="H1463"/>
      <c r="I1463" s="97"/>
      <c r="J1463"/>
      <c r="K1463"/>
    </row>
    <row r="1464" spans="1:11" s="21" customFormat="1">
      <c r="A1464"/>
      <c r="B1464"/>
      <c r="F1464"/>
      <c r="G1464"/>
      <c r="H1464"/>
      <c r="I1464" s="97"/>
      <c r="J1464"/>
      <c r="K1464"/>
    </row>
    <row r="1465" spans="1:11" s="21" customFormat="1">
      <c r="A1465"/>
      <c r="B1465"/>
      <c r="F1465"/>
      <c r="G1465"/>
      <c r="H1465"/>
      <c r="I1465" s="97"/>
      <c r="J1465"/>
      <c r="K1465"/>
    </row>
    <row r="1466" spans="1:11" s="21" customFormat="1">
      <c r="A1466"/>
      <c r="B1466"/>
      <c r="F1466"/>
      <c r="G1466"/>
      <c r="H1466"/>
      <c r="I1466" s="97"/>
      <c r="J1466"/>
      <c r="K1466"/>
    </row>
    <row r="1467" spans="1:11" s="21" customFormat="1">
      <c r="A1467"/>
      <c r="B1467"/>
      <c r="F1467"/>
      <c r="G1467"/>
      <c r="H1467"/>
      <c r="I1467" s="97"/>
      <c r="J1467"/>
      <c r="K1467"/>
    </row>
    <row r="1468" spans="1:11" s="21" customFormat="1">
      <c r="A1468"/>
      <c r="B1468"/>
      <c r="F1468"/>
      <c r="G1468"/>
      <c r="H1468"/>
      <c r="I1468" s="97"/>
      <c r="J1468"/>
      <c r="K1468"/>
    </row>
    <row r="1469" spans="1:11" s="21" customFormat="1">
      <c r="A1469"/>
      <c r="B1469"/>
      <c r="F1469"/>
      <c r="G1469"/>
      <c r="H1469"/>
      <c r="I1469" s="97"/>
      <c r="J1469"/>
      <c r="K1469"/>
    </row>
    <row r="1470" spans="1:11" s="21" customFormat="1">
      <c r="A1470"/>
      <c r="B1470"/>
      <c r="F1470"/>
      <c r="G1470"/>
      <c r="H1470"/>
      <c r="I1470" s="97"/>
      <c r="J1470"/>
      <c r="K1470"/>
    </row>
    <row r="1471" spans="1:11" s="21" customFormat="1">
      <c r="A1471"/>
      <c r="B1471"/>
      <c r="F1471"/>
      <c r="G1471"/>
      <c r="H1471"/>
      <c r="I1471" s="97"/>
      <c r="J1471"/>
      <c r="K1471"/>
    </row>
    <row r="1472" spans="1:11" s="21" customFormat="1">
      <c r="A1472"/>
      <c r="B1472"/>
      <c r="F1472"/>
      <c r="G1472"/>
      <c r="H1472"/>
      <c r="I1472" s="97"/>
      <c r="J1472"/>
      <c r="K1472"/>
    </row>
    <row r="1473" spans="1:11" s="21" customFormat="1">
      <c r="A1473"/>
      <c r="B1473"/>
      <c r="F1473"/>
      <c r="G1473"/>
      <c r="H1473"/>
      <c r="I1473" s="97"/>
      <c r="J1473"/>
      <c r="K1473"/>
    </row>
    <row r="1474" spans="1:11" s="21" customFormat="1">
      <c r="A1474"/>
      <c r="B1474"/>
      <c r="F1474"/>
      <c r="G1474"/>
      <c r="H1474"/>
      <c r="I1474" s="97"/>
      <c r="J1474"/>
      <c r="K1474"/>
    </row>
    <row r="1475" spans="1:11" s="21" customFormat="1">
      <c r="A1475"/>
      <c r="B1475"/>
      <c r="F1475"/>
      <c r="G1475"/>
      <c r="H1475"/>
      <c r="I1475" s="97"/>
      <c r="J1475"/>
      <c r="K1475"/>
    </row>
    <row r="1476" spans="1:11" s="21" customFormat="1">
      <c r="A1476"/>
      <c r="B1476"/>
      <c r="F1476"/>
      <c r="G1476"/>
      <c r="H1476"/>
      <c r="I1476" s="97"/>
      <c r="J1476"/>
      <c r="K1476"/>
    </row>
    <row r="1477" spans="1:11" s="21" customFormat="1">
      <c r="A1477"/>
      <c r="B1477"/>
      <c r="F1477"/>
      <c r="G1477"/>
      <c r="H1477"/>
      <c r="I1477" s="97"/>
      <c r="J1477"/>
      <c r="K1477"/>
    </row>
    <row r="1478" spans="1:11" s="21" customFormat="1">
      <c r="A1478"/>
      <c r="B1478"/>
      <c r="F1478"/>
      <c r="G1478"/>
      <c r="H1478"/>
      <c r="I1478" s="97"/>
      <c r="J1478"/>
      <c r="K1478"/>
    </row>
    <row r="1479" spans="1:11" s="21" customFormat="1">
      <c r="A1479"/>
      <c r="B1479"/>
      <c r="F1479"/>
      <c r="G1479"/>
      <c r="H1479"/>
      <c r="I1479" s="97"/>
      <c r="J1479"/>
      <c r="K1479"/>
    </row>
    <row r="1480" spans="1:11" s="21" customFormat="1">
      <c r="A1480"/>
      <c r="B1480"/>
      <c r="F1480"/>
      <c r="G1480"/>
      <c r="H1480"/>
      <c r="I1480" s="97"/>
      <c r="J1480"/>
      <c r="K1480"/>
    </row>
    <row r="1481" spans="1:11" s="21" customFormat="1">
      <c r="A1481"/>
      <c r="B1481"/>
      <c r="F1481"/>
      <c r="G1481"/>
      <c r="H1481"/>
      <c r="I1481" s="97"/>
      <c r="J1481"/>
      <c r="K1481"/>
    </row>
    <row r="1482" spans="1:11" s="21" customFormat="1">
      <c r="A1482"/>
      <c r="B1482"/>
      <c r="F1482"/>
      <c r="G1482"/>
      <c r="H1482"/>
      <c r="I1482" s="97"/>
      <c r="J1482"/>
      <c r="K1482"/>
    </row>
    <row r="1483" spans="1:11" s="21" customFormat="1">
      <c r="A1483"/>
      <c r="B1483"/>
      <c r="F1483"/>
      <c r="G1483"/>
      <c r="H1483"/>
      <c r="I1483" s="97"/>
      <c r="J1483"/>
      <c r="K1483"/>
    </row>
    <row r="1484" spans="1:11" s="21" customFormat="1">
      <c r="A1484"/>
      <c r="B1484"/>
      <c r="F1484"/>
      <c r="G1484"/>
      <c r="H1484"/>
      <c r="I1484" s="97"/>
      <c r="J1484"/>
      <c r="K1484"/>
    </row>
    <row r="1485" spans="1:11" s="21" customFormat="1">
      <c r="A1485"/>
      <c r="B1485"/>
      <c r="F1485"/>
      <c r="G1485"/>
      <c r="H1485"/>
      <c r="I1485" s="97"/>
      <c r="J1485"/>
      <c r="K1485"/>
    </row>
    <row r="1486" spans="1:11" s="21" customFormat="1">
      <c r="A1486"/>
      <c r="B1486"/>
      <c r="F1486"/>
      <c r="G1486"/>
      <c r="H1486"/>
      <c r="I1486" s="97"/>
      <c r="J1486"/>
      <c r="K1486"/>
    </row>
    <row r="1487" spans="1:11" s="21" customFormat="1">
      <c r="A1487"/>
      <c r="B1487"/>
      <c r="F1487"/>
      <c r="G1487"/>
      <c r="H1487"/>
      <c r="I1487" s="97"/>
      <c r="J1487"/>
      <c r="K1487"/>
    </row>
    <row r="1488" spans="1:11" s="21" customFormat="1">
      <c r="A1488"/>
      <c r="B1488"/>
      <c r="F1488"/>
      <c r="G1488"/>
      <c r="H1488"/>
      <c r="I1488" s="97"/>
      <c r="J1488"/>
      <c r="K1488"/>
    </row>
    <row r="1489" spans="1:11" s="21" customFormat="1">
      <c r="A1489"/>
      <c r="B1489"/>
      <c r="F1489"/>
      <c r="G1489"/>
      <c r="H1489"/>
      <c r="I1489" s="97"/>
      <c r="J1489"/>
      <c r="K1489"/>
    </row>
    <row r="1490" spans="1:11" s="21" customFormat="1">
      <c r="A1490"/>
      <c r="B1490"/>
      <c r="F1490"/>
      <c r="G1490"/>
      <c r="H1490"/>
      <c r="I1490" s="97"/>
      <c r="J1490"/>
      <c r="K1490"/>
    </row>
    <row r="1491" spans="1:11" s="21" customFormat="1">
      <c r="A1491"/>
      <c r="B1491"/>
      <c r="F1491"/>
      <c r="G1491"/>
      <c r="H1491"/>
      <c r="I1491" s="97"/>
      <c r="J1491"/>
      <c r="K1491"/>
    </row>
    <row r="1492" spans="1:11" s="21" customFormat="1">
      <c r="A1492"/>
      <c r="B1492"/>
      <c r="F1492"/>
      <c r="G1492"/>
      <c r="H1492"/>
      <c r="I1492" s="97"/>
      <c r="J1492"/>
      <c r="K1492"/>
    </row>
    <row r="1493" spans="1:11" s="21" customFormat="1">
      <c r="A1493"/>
      <c r="B1493"/>
      <c r="F1493"/>
      <c r="G1493"/>
      <c r="H1493"/>
      <c r="I1493" s="97"/>
      <c r="J1493"/>
      <c r="K1493"/>
    </row>
    <row r="1494" spans="1:11" s="21" customFormat="1">
      <c r="A1494"/>
      <c r="B1494"/>
      <c r="F1494"/>
      <c r="G1494"/>
      <c r="H1494"/>
      <c r="I1494" s="97"/>
      <c r="J1494"/>
      <c r="K1494"/>
    </row>
    <row r="1495" spans="1:11" s="21" customFormat="1">
      <c r="A1495"/>
      <c r="B1495"/>
      <c r="F1495"/>
      <c r="G1495"/>
      <c r="H1495"/>
      <c r="I1495" s="97"/>
      <c r="J1495"/>
      <c r="K1495"/>
    </row>
    <row r="1496" spans="1:11" s="21" customFormat="1">
      <c r="A1496"/>
      <c r="B1496"/>
      <c r="F1496"/>
      <c r="G1496"/>
      <c r="H1496"/>
      <c r="I1496" s="97"/>
      <c r="J1496"/>
      <c r="K1496"/>
    </row>
    <row r="1497" spans="1:11" s="21" customFormat="1">
      <c r="A1497"/>
      <c r="B1497"/>
      <c r="F1497"/>
      <c r="G1497"/>
      <c r="H1497"/>
      <c r="I1497" s="97"/>
      <c r="J1497"/>
      <c r="K1497"/>
    </row>
    <row r="1498" spans="1:11" s="21" customFormat="1">
      <c r="A1498"/>
      <c r="B1498"/>
      <c r="F1498"/>
      <c r="G1498"/>
      <c r="H1498"/>
      <c r="I1498" s="97"/>
      <c r="J1498"/>
      <c r="K1498"/>
    </row>
    <row r="1499" spans="1:11" s="21" customFormat="1">
      <c r="A1499"/>
      <c r="B1499"/>
      <c r="F1499"/>
      <c r="G1499"/>
      <c r="H1499"/>
      <c r="I1499" s="97"/>
      <c r="J1499"/>
      <c r="K1499"/>
    </row>
    <row r="1500" spans="1:11" s="21" customFormat="1">
      <c r="A1500"/>
      <c r="B1500"/>
      <c r="F1500"/>
      <c r="G1500"/>
      <c r="H1500"/>
      <c r="I1500" s="97"/>
      <c r="J1500"/>
      <c r="K1500"/>
    </row>
    <row r="1501" spans="1:11" s="21" customFormat="1">
      <c r="A1501"/>
      <c r="B1501"/>
      <c r="F1501"/>
      <c r="G1501"/>
      <c r="H1501"/>
      <c r="I1501" s="97"/>
      <c r="J1501"/>
      <c r="K1501"/>
    </row>
    <row r="1502" spans="1:11" s="21" customFormat="1">
      <c r="A1502"/>
      <c r="B1502"/>
      <c r="F1502"/>
      <c r="G1502"/>
      <c r="H1502"/>
      <c r="I1502" s="97"/>
      <c r="J1502"/>
      <c r="K1502"/>
    </row>
    <row r="1503" spans="1:11" s="21" customFormat="1">
      <c r="A1503"/>
      <c r="B1503"/>
      <c r="F1503"/>
      <c r="G1503"/>
      <c r="H1503"/>
      <c r="I1503" s="97"/>
      <c r="J1503"/>
      <c r="K1503"/>
    </row>
    <row r="1504" spans="1:11" s="21" customFormat="1">
      <c r="A1504"/>
      <c r="B1504"/>
      <c r="F1504"/>
      <c r="G1504"/>
      <c r="H1504"/>
      <c r="I1504" s="97"/>
      <c r="J1504"/>
      <c r="K1504"/>
    </row>
    <row r="1505" spans="1:11" s="21" customFormat="1">
      <c r="A1505"/>
      <c r="B1505"/>
      <c r="F1505"/>
      <c r="G1505"/>
      <c r="H1505"/>
      <c r="I1505" s="97"/>
      <c r="J1505"/>
      <c r="K1505"/>
    </row>
    <row r="1506" spans="1:11" s="21" customFormat="1">
      <c r="A1506"/>
      <c r="B1506"/>
      <c r="F1506"/>
      <c r="G1506"/>
      <c r="H1506"/>
      <c r="I1506" s="97"/>
      <c r="J1506"/>
      <c r="K1506"/>
    </row>
    <row r="1507" spans="1:11" s="21" customFormat="1">
      <c r="A1507"/>
      <c r="B1507"/>
      <c r="F1507"/>
      <c r="G1507"/>
      <c r="H1507"/>
      <c r="I1507" s="97"/>
      <c r="J1507"/>
      <c r="K1507"/>
    </row>
    <row r="1508" spans="1:11" s="21" customFormat="1">
      <c r="A1508"/>
      <c r="B1508"/>
      <c r="F1508"/>
      <c r="G1508"/>
      <c r="H1508"/>
      <c r="I1508" s="97"/>
      <c r="J1508"/>
      <c r="K1508"/>
    </row>
    <row r="1509" spans="1:11" s="21" customFormat="1">
      <c r="A1509"/>
      <c r="B1509"/>
      <c r="F1509"/>
      <c r="G1509"/>
      <c r="H1509"/>
      <c r="I1509" s="97"/>
      <c r="J1509"/>
      <c r="K1509"/>
    </row>
    <row r="1510" spans="1:11" s="21" customFormat="1">
      <c r="A1510"/>
      <c r="B1510"/>
      <c r="F1510"/>
      <c r="G1510"/>
      <c r="H1510"/>
      <c r="I1510" s="97"/>
      <c r="J1510"/>
      <c r="K1510"/>
    </row>
    <row r="1511" spans="1:11" s="21" customFormat="1">
      <c r="A1511"/>
      <c r="B1511"/>
      <c r="F1511"/>
      <c r="G1511"/>
      <c r="H1511"/>
      <c r="I1511" s="97"/>
      <c r="J1511"/>
      <c r="K1511"/>
    </row>
    <row r="1512" spans="1:11" s="21" customFormat="1">
      <c r="A1512"/>
      <c r="B1512"/>
      <c r="F1512"/>
      <c r="G1512"/>
      <c r="H1512"/>
      <c r="I1512" s="97"/>
      <c r="J1512"/>
      <c r="K1512"/>
    </row>
    <row r="1513" spans="1:11" s="21" customFormat="1">
      <c r="A1513"/>
      <c r="B1513"/>
      <c r="F1513"/>
      <c r="G1513"/>
      <c r="H1513"/>
      <c r="I1513" s="97"/>
      <c r="J1513"/>
      <c r="K1513"/>
    </row>
    <row r="1514" spans="1:11" s="21" customFormat="1">
      <c r="A1514"/>
      <c r="B1514"/>
      <c r="F1514"/>
      <c r="G1514"/>
      <c r="H1514"/>
      <c r="I1514" s="97"/>
      <c r="J1514"/>
      <c r="K1514"/>
    </row>
    <row r="1515" spans="1:11" s="21" customFormat="1">
      <c r="A1515"/>
      <c r="B1515"/>
      <c r="F1515"/>
      <c r="G1515"/>
      <c r="H1515"/>
      <c r="I1515" s="97"/>
      <c r="J1515"/>
      <c r="K1515"/>
    </row>
    <row r="1516" spans="1:11" s="21" customFormat="1">
      <c r="A1516"/>
      <c r="B1516"/>
      <c r="F1516"/>
      <c r="G1516"/>
      <c r="H1516"/>
      <c r="I1516" s="97"/>
      <c r="J1516"/>
      <c r="K1516"/>
    </row>
    <row r="1517" spans="1:11" s="21" customFormat="1">
      <c r="A1517"/>
      <c r="B1517"/>
      <c r="F1517"/>
      <c r="G1517"/>
      <c r="H1517"/>
      <c r="I1517" s="97"/>
      <c r="J1517"/>
      <c r="K1517"/>
    </row>
    <row r="1518" spans="1:11" s="21" customFormat="1">
      <c r="A1518"/>
      <c r="B1518"/>
      <c r="F1518"/>
      <c r="G1518"/>
      <c r="H1518"/>
      <c r="I1518" s="97"/>
      <c r="J1518"/>
      <c r="K1518"/>
    </row>
    <row r="1519" spans="1:11" s="21" customFormat="1">
      <c r="A1519"/>
      <c r="B1519"/>
      <c r="F1519"/>
      <c r="G1519"/>
      <c r="H1519"/>
      <c r="I1519" s="97"/>
      <c r="J1519"/>
      <c r="K1519"/>
    </row>
    <row r="1520" spans="1:11" s="21" customFormat="1">
      <c r="A1520"/>
      <c r="B1520"/>
      <c r="F1520"/>
      <c r="G1520"/>
      <c r="H1520"/>
      <c r="I1520" s="97"/>
      <c r="J1520"/>
      <c r="K1520"/>
    </row>
    <row r="1521" spans="1:11" s="21" customFormat="1">
      <c r="A1521"/>
      <c r="B1521"/>
      <c r="F1521"/>
      <c r="G1521"/>
      <c r="H1521"/>
      <c r="I1521" s="97"/>
      <c r="J1521"/>
      <c r="K1521"/>
    </row>
    <row r="1522" spans="1:11" s="21" customFormat="1">
      <c r="A1522"/>
      <c r="B1522"/>
      <c r="F1522"/>
      <c r="G1522"/>
      <c r="H1522"/>
      <c r="I1522" s="97"/>
      <c r="J1522"/>
      <c r="K1522"/>
    </row>
    <row r="1523" spans="1:11" s="21" customFormat="1">
      <c r="A1523"/>
      <c r="B1523"/>
      <c r="F1523"/>
      <c r="G1523"/>
      <c r="H1523"/>
      <c r="I1523" s="97"/>
      <c r="J1523"/>
      <c r="K1523"/>
    </row>
    <row r="1524" spans="1:11" s="21" customFormat="1">
      <c r="A1524"/>
      <c r="B1524"/>
      <c r="F1524"/>
      <c r="G1524"/>
      <c r="H1524"/>
      <c r="I1524" s="97"/>
      <c r="J1524"/>
      <c r="K1524"/>
    </row>
    <row r="1525" spans="1:11" s="21" customFormat="1">
      <c r="A1525"/>
      <c r="B1525"/>
      <c r="F1525"/>
      <c r="G1525"/>
      <c r="H1525"/>
      <c r="I1525" s="97"/>
      <c r="J1525"/>
      <c r="K1525"/>
    </row>
    <row r="1526" spans="1:11" s="21" customFormat="1">
      <c r="A1526"/>
      <c r="B1526"/>
      <c r="F1526"/>
      <c r="G1526"/>
      <c r="H1526"/>
      <c r="I1526" s="97"/>
      <c r="J1526"/>
      <c r="K1526"/>
    </row>
    <row r="1527" spans="1:11" s="21" customFormat="1">
      <c r="A1527"/>
      <c r="B1527"/>
      <c r="F1527"/>
      <c r="G1527"/>
      <c r="H1527"/>
      <c r="I1527" s="97"/>
      <c r="J1527"/>
      <c r="K1527"/>
    </row>
    <row r="1528" spans="1:11" s="21" customFormat="1">
      <c r="A1528"/>
      <c r="B1528"/>
      <c r="F1528"/>
      <c r="G1528"/>
      <c r="H1528"/>
      <c r="I1528" s="97"/>
      <c r="J1528"/>
      <c r="K1528"/>
    </row>
    <row r="1529" spans="1:11" s="21" customFormat="1">
      <c r="A1529"/>
      <c r="B1529"/>
      <c r="F1529"/>
      <c r="G1529"/>
      <c r="H1529"/>
      <c r="I1529" s="97"/>
      <c r="J1529"/>
      <c r="K1529"/>
    </row>
    <row r="1530" spans="1:11" s="21" customFormat="1">
      <c r="A1530"/>
      <c r="B1530"/>
      <c r="F1530"/>
      <c r="G1530"/>
      <c r="H1530"/>
      <c r="I1530" s="97"/>
      <c r="J1530"/>
      <c r="K1530"/>
    </row>
    <row r="1531" spans="1:11" s="21" customFormat="1">
      <c r="A1531"/>
      <c r="B1531"/>
      <c r="F1531"/>
      <c r="G1531"/>
      <c r="H1531"/>
      <c r="I1531" s="97"/>
      <c r="J1531"/>
      <c r="K1531"/>
    </row>
    <row r="1532" spans="1:11" s="21" customFormat="1">
      <c r="A1532"/>
      <c r="B1532"/>
      <c r="F1532"/>
      <c r="G1532"/>
      <c r="H1532"/>
      <c r="I1532" s="97"/>
      <c r="J1532"/>
      <c r="K1532"/>
    </row>
    <row r="1533" spans="1:11" s="21" customFormat="1">
      <c r="A1533"/>
      <c r="B1533"/>
      <c r="F1533"/>
      <c r="G1533"/>
      <c r="H1533"/>
      <c r="I1533" s="97"/>
      <c r="J1533"/>
      <c r="K1533"/>
    </row>
    <row r="1534" spans="1:11" s="21" customFormat="1">
      <c r="A1534"/>
      <c r="B1534"/>
      <c r="F1534"/>
      <c r="G1534"/>
      <c r="H1534"/>
      <c r="I1534" s="97"/>
      <c r="J1534"/>
      <c r="K1534"/>
    </row>
    <row r="1535" spans="1:11" s="21" customFormat="1">
      <c r="A1535"/>
      <c r="B1535"/>
      <c r="F1535"/>
      <c r="G1535"/>
      <c r="H1535"/>
      <c r="I1535" s="97"/>
      <c r="J1535"/>
      <c r="K1535"/>
    </row>
    <row r="1536" spans="1:11" s="21" customFormat="1">
      <c r="A1536"/>
      <c r="B1536"/>
      <c r="F1536"/>
      <c r="G1536"/>
      <c r="H1536"/>
      <c r="I1536" s="97"/>
      <c r="J1536"/>
      <c r="K1536"/>
    </row>
    <row r="1537" spans="1:11" s="21" customFormat="1">
      <c r="A1537"/>
      <c r="B1537"/>
      <c r="F1537"/>
      <c r="G1537"/>
      <c r="H1537"/>
      <c r="I1537" s="97"/>
      <c r="J1537"/>
      <c r="K1537"/>
    </row>
    <row r="1538" spans="1:11" s="21" customFormat="1">
      <c r="A1538"/>
      <c r="B1538"/>
      <c r="F1538"/>
      <c r="G1538"/>
      <c r="H1538"/>
      <c r="I1538" s="97"/>
      <c r="J1538"/>
      <c r="K1538"/>
    </row>
    <row r="1539" spans="1:11" s="21" customFormat="1">
      <c r="A1539"/>
      <c r="B1539"/>
      <c r="F1539"/>
      <c r="G1539"/>
      <c r="H1539"/>
      <c r="I1539" s="97"/>
      <c r="J1539"/>
      <c r="K1539"/>
    </row>
    <row r="1540" spans="1:11" s="21" customFormat="1">
      <c r="A1540"/>
      <c r="B1540"/>
      <c r="F1540"/>
      <c r="G1540"/>
      <c r="H1540"/>
      <c r="I1540" s="97"/>
      <c r="J1540"/>
      <c r="K1540"/>
    </row>
    <row r="1541" spans="1:11" s="21" customFormat="1">
      <c r="A1541"/>
      <c r="B1541"/>
      <c r="F1541"/>
      <c r="G1541"/>
      <c r="H1541"/>
      <c r="I1541" s="97"/>
      <c r="J1541"/>
      <c r="K1541"/>
    </row>
    <row r="1542" spans="1:11" s="21" customFormat="1">
      <c r="A1542"/>
      <c r="B1542"/>
      <c r="F1542"/>
      <c r="G1542"/>
      <c r="H1542"/>
      <c r="I1542" s="97"/>
      <c r="J1542"/>
      <c r="K1542"/>
    </row>
    <row r="1543" spans="1:11" s="21" customFormat="1">
      <c r="A1543"/>
      <c r="B1543"/>
      <c r="F1543"/>
      <c r="G1543"/>
      <c r="H1543"/>
      <c r="I1543" s="97"/>
      <c r="J1543"/>
      <c r="K1543"/>
    </row>
    <row r="1544" spans="1:11" s="21" customFormat="1">
      <c r="A1544"/>
      <c r="B1544"/>
      <c r="F1544"/>
      <c r="G1544"/>
      <c r="H1544"/>
      <c r="I1544" s="97"/>
      <c r="J1544"/>
      <c r="K1544"/>
    </row>
    <row r="1545" spans="1:11" s="21" customFormat="1">
      <c r="A1545"/>
      <c r="B1545"/>
      <c r="F1545"/>
      <c r="G1545"/>
      <c r="H1545"/>
      <c r="I1545" s="97"/>
      <c r="J1545"/>
      <c r="K1545"/>
    </row>
    <row r="1546" spans="1:11" s="21" customFormat="1">
      <c r="A1546"/>
      <c r="B1546"/>
      <c r="F1546"/>
      <c r="G1546"/>
      <c r="H1546"/>
      <c r="I1546" s="97"/>
      <c r="J1546"/>
      <c r="K1546"/>
    </row>
    <row r="1547" spans="1:11" s="21" customFormat="1">
      <c r="A1547"/>
      <c r="B1547"/>
      <c r="F1547"/>
      <c r="G1547"/>
      <c r="H1547"/>
      <c r="I1547" s="97"/>
      <c r="J1547"/>
      <c r="K1547"/>
    </row>
    <row r="1548" spans="1:11" s="21" customFormat="1">
      <c r="A1548"/>
      <c r="B1548"/>
      <c r="F1548"/>
      <c r="G1548"/>
      <c r="H1548"/>
      <c r="I1548" s="97"/>
      <c r="J1548"/>
      <c r="K1548"/>
    </row>
    <row r="1549" spans="1:11" s="21" customFormat="1">
      <c r="A1549"/>
      <c r="B1549"/>
      <c r="F1549"/>
      <c r="G1549"/>
      <c r="H1549"/>
      <c r="I1549" s="97"/>
      <c r="J1549"/>
      <c r="K1549"/>
    </row>
    <row r="1550" spans="1:11" s="21" customFormat="1">
      <c r="A1550"/>
      <c r="B1550"/>
      <c r="F1550"/>
      <c r="G1550"/>
      <c r="H1550"/>
      <c r="I1550" s="97"/>
      <c r="J1550"/>
      <c r="K1550"/>
    </row>
    <row r="1551" spans="1:11" s="21" customFormat="1">
      <c r="A1551"/>
      <c r="B1551"/>
      <c r="F1551"/>
      <c r="G1551"/>
      <c r="H1551"/>
      <c r="I1551" s="97"/>
      <c r="J1551"/>
      <c r="K1551"/>
    </row>
    <row r="1552" spans="1:11" s="21" customFormat="1">
      <c r="A1552"/>
      <c r="B1552"/>
      <c r="F1552"/>
      <c r="G1552"/>
      <c r="H1552"/>
      <c r="I1552" s="97"/>
      <c r="J1552"/>
      <c r="K1552"/>
    </row>
    <row r="1553" spans="1:11" s="21" customFormat="1">
      <c r="A1553"/>
      <c r="B1553"/>
      <c r="F1553"/>
      <c r="G1553"/>
      <c r="H1553"/>
      <c r="I1553" s="97"/>
      <c r="J1553"/>
      <c r="K1553"/>
    </row>
    <row r="1554" spans="1:11" s="21" customFormat="1">
      <c r="A1554"/>
      <c r="B1554"/>
      <c r="F1554"/>
      <c r="G1554"/>
      <c r="H1554"/>
      <c r="I1554" s="97"/>
      <c r="J1554"/>
      <c r="K1554"/>
    </row>
    <row r="1555" spans="1:11" s="21" customFormat="1">
      <c r="A1555"/>
      <c r="B1555"/>
      <c r="F1555"/>
      <c r="G1555"/>
      <c r="H1555"/>
      <c r="I1555" s="97"/>
      <c r="J1555"/>
      <c r="K1555"/>
    </row>
    <row r="1556" spans="1:11" s="21" customFormat="1">
      <c r="A1556"/>
      <c r="B1556"/>
      <c r="F1556"/>
      <c r="G1556"/>
      <c r="H1556"/>
      <c r="I1556" s="97"/>
      <c r="J1556"/>
      <c r="K1556"/>
    </row>
    <row r="1557" spans="1:11" s="21" customFormat="1">
      <c r="A1557"/>
      <c r="B1557"/>
      <c r="F1557"/>
      <c r="G1557"/>
      <c r="H1557"/>
      <c r="I1557" s="97"/>
      <c r="J1557"/>
      <c r="K1557"/>
    </row>
    <row r="1558" spans="1:11" s="21" customFormat="1">
      <c r="A1558"/>
      <c r="B1558"/>
      <c r="F1558"/>
      <c r="G1558"/>
      <c r="H1558"/>
      <c r="I1558" s="97"/>
      <c r="J1558"/>
      <c r="K1558"/>
    </row>
    <row r="1559" spans="1:11" s="21" customFormat="1">
      <c r="A1559"/>
      <c r="B1559"/>
      <c r="F1559"/>
      <c r="G1559"/>
      <c r="H1559"/>
      <c r="I1559" s="97"/>
      <c r="J1559"/>
      <c r="K1559"/>
    </row>
    <row r="1560" spans="1:11" s="21" customFormat="1">
      <c r="A1560"/>
      <c r="B1560"/>
      <c r="F1560"/>
      <c r="G1560"/>
      <c r="H1560"/>
      <c r="I1560" s="97"/>
      <c r="J1560"/>
      <c r="K1560"/>
    </row>
    <row r="1561" spans="1:11" s="21" customFormat="1">
      <c r="A1561"/>
      <c r="B1561"/>
      <c r="F1561"/>
      <c r="G1561"/>
      <c r="H1561"/>
      <c r="I1561" s="97"/>
      <c r="J1561"/>
      <c r="K1561"/>
    </row>
    <row r="1562" spans="1:11" s="21" customFormat="1">
      <c r="A1562"/>
      <c r="B1562"/>
      <c r="F1562"/>
      <c r="G1562"/>
      <c r="H1562"/>
      <c r="I1562" s="97"/>
      <c r="J1562"/>
      <c r="K1562"/>
    </row>
    <row r="1563" spans="1:11" s="21" customFormat="1">
      <c r="A1563"/>
      <c r="B1563"/>
      <c r="F1563"/>
      <c r="G1563"/>
      <c r="H1563"/>
      <c r="I1563" s="97"/>
      <c r="J1563"/>
      <c r="K1563"/>
    </row>
    <row r="1564" spans="1:11" s="21" customFormat="1">
      <c r="A1564"/>
      <c r="B1564"/>
      <c r="F1564"/>
      <c r="G1564"/>
      <c r="H1564"/>
      <c r="I1564" s="97"/>
      <c r="J1564"/>
      <c r="K1564"/>
    </row>
    <row r="1565" spans="1:11" s="21" customFormat="1">
      <c r="A1565"/>
      <c r="B1565"/>
      <c r="F1565"/>
      <c r="G1565"/>
      <c r="H1565"/>
      <c r="I1565" s="97"/>
      <c r="J1565"/>
      <c r="K1565"/>
    </row>
    <row r="1566" spans="1:11" s="21" customFormat="1">
      <c r="A1566"/>
      <c r="B1566"/>
      <c r="F1566"/>
      <c r="G1566"/>
      <c r="H1566"/>
      <c r="I1566" s="97"/>
      <c r="J1566"/>
      <c r="K1566"/>
    </row>
    <row r="1567" spans="1:11" s="21" customFormat="1">
      <c r="A1567"/>
      <c r="B1567"/>
      <c r="F1567"/>
      <c r="G1567"/>
      <c r="H1567"/>
      <c r="I1567" s="97"/>
      <c r="J1567"/>
      <c r="K1567"/>
    </row>
    <row r="1568" spans="1:11" s="21" customFormat="1">
      <c r="A1568"/>
      <c r="B1568"/>
      <c r="F1568"/>
      <c r="G1568"/>
      <c r="H1568"/>
      <c r="I1568" s="97"/>
      <c r="J1568"/>
      <c r="K1568"/>
    </row>
    <row r="1569" spans="1:11" s="21" customFormat="1">
      <c r="A1569"/>
      <c r="B1569"/>
      <c r="F1569"/>
      <c r="G1569"/>
      <c r="H1569"/>
      <c r="I1569" s="97"/>
      <c r="J1569"/>
      <c r="K1569"/>
    </row>
    <row r="1570" spans="1:11" s="21" customFormat="1">
      <c r="A1570"/>
      <c r="B1570"/>
      <c r="F1570"/>
      <c r="G1570"/>
      <c r="H1570"/>
      <c r="I1570" s="97"/>
      <c r="J1570"/>
      <c r="K1570"/>
    </row>
    <row r="1571" spans="1:11" s="21" customFormat="1">
      <c r="A1571"/>
      <c r="B1571"/>
      <c r="F1571"/>
      <c r="G1571"/>
      <c r="H1571"/>
      <c r="I1571" s="97"/>
      <c r="J1571"/>
      <c r="K1571"/>
    </row>
    <row r="1572" spans="1:11" s="21" customFormat="1">
      <c r="A1572"/>
      <c r="B1572"/>
      <c r="F1572"/>
      <c r="G1572"/>
      <c r="H1572"/>
      <c r="I1572" s="97"/>
      <c r="J1572"/>
      <c r="K1572"/>
    </row>
    <row r="1573" spans="1:11" s="21" customFormat="1">
      <c r="A1573"/>
      <c r="B1573"/>
      <c r="F1573"/>
      <c r="G1573"/>
      <c r="H1573"/>
      <c r="I1573" s="97"/>
      <c r="J1573"/>
      <c r="K1573"/>
    </row>
    <row r="1574" spans="1:11" s="21" customFormat="1">
      <c r="A1574"/>
      <c r="B1574"/>
      <c r="F1574"/>
      <c r="G1574"/>
      <c r="H1574"/>
      <c r="I1574" s="97"/>
      <c r="J1574"/>
      <c r="K1574"/>
    </row>
    <row r="1575" spans="1:11" s="21" customFormat="1">
      <c r="A1575"/>
      <c r="B1575"/>
      <c r="F1575"/>
      <c r="G1575"/>
      <c r="H1575"/>
      <c r="I1575" s="97"/>
      <c r="J1575"/>
      <c r="K1575"/>
    </row>
    <row r="1576" spans="1:11" s="21" customFormat="1">
      <c r="A1576"/>
      <c r="B1576"/>
      <c r="F1576"/>
      <c r="G1576"/>
      <c r="H1576"/>
      <c r="I1576" s="97"/>
      <c r="J1576"/>
      <c r="K1576"/>
    </row>
    <row r="1577" spans="1:11" s="21" customFormat="1">
      <c r="A1577"/>
      <c r="B1577"/>
      <c r="F1577"/>
      <c r="G1577"/>
      <c r="H1577"/>
      <c r="I1577" s="97"/>
      <c r="J1577"/>
      <c r="K1577"/>
    </row>
    <row r="1578" spans="1:11" s="21" customFormat="1">
      <c r="A1578"/>
      <c r="B1578"/>
      <c r="F1578"/>
      <c r="G1578"/>
      <c r="H1578"/>
      <c r="I1578" s="97"/>
      <c r="J1578"/>
      <c r="K1578"/>
    </row>
    <row r="1579" spans="1:11" s="21" customFormat="1">
      <c r="A1579"/>
      <c r="B1579"/>
      <c r="F1579"/>
      <c r="G1579"/>
      <c r="H1579"/>
      <c r="I1579" s="97"/>
      <c r="J1579"/>
      <c r="K1579"/>
    </row>
    <row r="1580" spans="1:11" s="21" customFormat="1">
      <c r="A1580"/>
      <c r="B1580"/>
      <c r="F1580"/>
      <c r="G1580"/>
      <c r="H1580"/>
      <c r="I1580" s="97"/>
      <c r="J1580"/>
      <c r="K1580"/>
    </row>
    <row r="1581" spans="1:11" s="21" customFormat="1">
      <c r="A1581"/>
      <c r="B1581"/>
      <c r="F1581"/>
      <c r="G1581"/>
      <c r="H1581"/>
      <c r="I1581" s="97"/>
      <c r="J1581"/>
      <c r="K1581"/>
    </row>
    <row r="1582" spans="1:11" s="21" customFormat="1">
      <c r="A1582"/>
      <c r="B1582"/>
      <c r="F1582"/>
      <c r="G1582"/>
      <c r="H1582"/>
      <c r="I1582" s="97"/>
      <c r="J1582"/>
      <c r="K1582"/>
    </row>
    <row r="1583" spans="1:11" s="21" customFormat="1">
      <c r="A1583"/>
      <c r="B1583"/>
      <c r="F1583"/>
      <c r="G1583"/>
      <c r="H1583"/>
      <c r="I1583" s="97"/>
      <c r="J1583"/>
      <c r="K1583"/>
    </row>
    <row r="1584" spans="1:11" s="21" customFormat="1">
      <c r="A1584"/>
      <c r="B1584"/>
      <c r="F1584"/>
      <c r="G1584"/>
      <c r="H1584"/>
      <c r="I1584" s="97"/>
      <c r="J1584"/>
      <c r="K1584"/>
    </row>
    <row r="1585" spans="1:11" s="21" customFormat="1">
      <c r="A1585"/>
      <c r="B1585"/>
      <c r="F1585"/>
      <c r="G1585"/>
      <c r="H1585"/>
      <c r="I1585" s="97"/>
      <c r="J1585"/>
      <c r="K1585"/>
    </row>
    <row r="1586" spans="1:11" s="21" customFormat="1">
      <c r="A1586"/>
      <c r="B1586"/>
      <c r="F1586"/>
      <c r="G1586"/>
      <c r="H1586"/>
      <c r="I1586" s="97"/>
      <c r="J1586"/>
      <c r="K1586"/>
    </row>
    <row r="1587" spans="1:11" s="21" customFormat="1">
      <c r="A1587"/>
      <c r="B1587"/>
      <c r="F1587"/>
      <c r="G1587"/>
      <c r="H1587"/>
      <c r="I1587" s="97"/>
      <c r="J1587"/>
      <c r="K1587"/>
    </row>
    <row r="1588" spans="1:11" s="21" customFormat="1">
      <c r="A1588"/>
      <c r="B1588"/>
      <c r="F1588"/>
      <c r="G1588"/>
      <c r="H1588"/>
      <c r="I1588" s="97"/>
      <c r="J1588"/>
      <c r="K1588"/>
    </row>
    <row r="1589" spans="1:11" s="21" customFormat="1">
      <c r="A1589"/>
      <c r="B1589"/>
      <c r="F1589"/>
      <c r="G1589"/>
      <c r="H1589"/>
      <c r="I1589" s="97"/>
      <c r="J1589"/>
      <c r="K1589"/>
    </row>
    <row r="1590" spans="1:11" s="21" customFormat="1">
      <c r="A1590"/>
      <c r="B1590"/>
      <c r="F1590"/>
      <c r="G1590"/>
      <c r="H1590"/>
      <c r="I1590" s="97"/>
      <c r="J1590"/>
      <c r="K1590"/>
    </row>
    <row r="1591" spans="1:11" s="21" customFormat="1">
      <c r="A1591"/>
      <c r="B1591"/>
      <c r="F1591"/>
      <c r="G1591"/>
      <c r="H1591"/>
      <c r="I1591" s="97"/>
      <c r="J1591"/>
      <c r="K1591"/>
    </row>
    <row r="1592" spans="1:11" s="21" customFormat="1">
      <c r="A1592"/>
      <c r="B1592"/>
      <c r="F1592"/>
      <c r="G1592"/>
      <c r="H1592"/>
      <c r="I1592" s="97"/>
      <c r="J1592"/>
      <c r="K1592"/>
    </row>
    <row r="1593" spans="1:11" s="21" customFormat="1">
      <c r="A1593"/>
      <c r="B1593"/>
      <c r="F1593"/>
      <c r="G1593"/>
      <c r="H1593"/>
      <c r="I1593" s="97"/>
      <c r="J1593"/>
      <c r="K1593"/>
    </row>
    <row r="1594" spans="1:11" s="21" customFormat="1">
      <c r="A1594"/>
      <c r="B1594"/>
      <c r="F1594"/>
      <c r="G1594"/>
      <c r="H1594"/>
      <c r="I1594" s="97"/>
      <c r="J1594"/>
      <c r="K1594"/>
    </row>
    <row r="1595" spans="1:11" s="21" customFormat="1">
      <c r="A1595"/>
      <c r="B1595"/>
      <c r="F1595"/>
      <c r="G1595"/>
      <c r="H1595"/>
      <c r="I1595" s="97"/>
      <c r="J1595"/>
      <c r="K1595"/>
    </row>
    <row r="1596" spans="1:11" s="21" customFormat="1">
      <c r="A1596"/>
      <c r="B1596"/>
      <c r="F1596"/>
      <c r="G1596"/>
      <c r="H1596"/>
      <c r="I1596" s="97"/>
      <c r="J1596"/>
      <c r="K1596"/>
    </row>
    <row r="1597" spans="1:11" s="21" customFormat="1">
      <c r="A1597"/>
      <c r="B1597"/>
      <c r="F1597"/>
      <c r="G1597"/>
      <c r="H1597"/>
      <c r="I1597" s="97"/>
      <c r="J1597"/>
      <c r="K1597"/>
    </row>
    <row r="1598" spans="1:11" s="21" customFormat="1">
      <c r="A1598"/>
      <c r="B1598"/>
      <c r="F1598"/>
      <c r="G1598"/>
      <c r="H1598"/>
      <c r="I1598" s="97"/>
      <c r="J1598"/>
      <c r="K1598"/>
    </row>
    <row r="1599" spans="1:11" s="21" customFormat="1">
      <c r="A1599"/>
      <c r="B1599"/>
      <c r="F1599"/>
      <c r="G1599"/>
      <c r="H1599"/>
      <c r="I1599" s="97"/>
      <c r="J1599"/>
      <c r="K1599"/>
    </row>
    <row r="1600" spans="1:11" s="21" customFormat="1">
      <c r="A1600"/>
      <c r="B1600"/>
      <c r="F1600"/>
      <c r="G1600"/>
      <c r="H1600"/>
      <c r="I1600" s="97"/>
      <c r="J1600"/>
      <c r="K1600"/>
    </row>
    <row r="1601" spans="1:11" s="21" customFormat="1">
      <c r="A1601"/>
      <c r="B1601"/>
      <c r="F1601"/>
      <c r="G1601"/>
      <c r="H1601"/>
      <c r="I1601" s="97"/>
      <c r="J1601"/>
      <c r="K1601"/>
    </row>
    <row r="1602" spans="1:11" s="21" customFormat="1">
      <c r="A1602"/>
      <c r="B1602"/>
      <c r="F1602"/>
      <c r="G1602"/>
      <c r="H1602"/>
      <c r="I1602" s="97"/>
      <c r="J1602"/>
      <c r="K1602"/>
    </row>
    <row r="1603" spans="1:11" s="21" customFormat="1">
      <c r="A1603"/>
      <c r="B1603"/>
      <c r="F1603"/>
      <c r="G1603"/>
      <c r="H1603"/>
      <c r="I1603" s="97"/>
      <c r="J1603"/>
      <c r="K1603"/>
    </row>
    <row r="1604" spans="1:11" s="21" customFormat="1">
      <c r="A1604"/>
      <c r="B1604"/>
      <c r="F1604"/>
      <c r="G1604"/>
      <c r="H1604"/>
      <c r="I1604" s="97"/>
      <c r="J1604"/>
      <c r="K1604"/>
    </row>
    <row r="1605" spans="1:11" s="21" customFormat="1">
      <c r="A1605"/>
      <c r="B1605"/>
      <c r="F1605"/>
      <c r="G1605"/>
      <c r="H1605"/>
      <c r="I1605" s="97"/>
      <c r="J1605"/>
      <c r="K1605"/>
    </row>
    <row r="1606" spans="1:11" s="21" customFormat="1">
      <c r="A1606"/>
      <c r="B1606"/>
      <c r="F1606"/>
      <c r="G1606"/>
      <c r="H1606"/>
      <c r="I1606" s="97"/>
      <c r="J1606"/>
      <c r="K1606"/>
    </row>
    <row r="1607" spans="1:11" s="21" customFormat="1">
      <c r="A1607"/>
      <c r="B1607"/>
      <c r="F1607"/>
      <c r="G1607"/>
      <c r="H1607"/>
      <c r="I1607" s="97"/>
      <c r="J1607"/>
      <c r="K1607"/>
    </row>
    <row r="1608" spans="1:11" s="21" customFormat="1">
      <c r="A1608"/>
      <c r="B1608"/>
      <c r="F1608"/>
      <c r="G1608"/>
      <c r="H1608"/>
      <c r="I1608" s="97"/>
      <c r="J1608"/>
      <c r="K1608"/>
    </row>
    <row r="1609" spans="1:11" s="21" customFormat="1">
      <c r="A1609"/>
      <c r="B1609"/>
      <c r="F1609"/>
      <c r="G1609"/>
      <c r="H1609"/>
      <c r="I1609" s="97"/>
      <c r="J1609"/>
      <c r="K1609"/>
    </row>
    <row r="1610" spans="1:11" s="21" customFormat="1">
      <c r="A1610"/>
      <c r="B1610"/>
      <c r="F1610"/>
      <c r="G1610"/>
      <c r="H1610"/>
      <c r="I1610" s="97"/>
      <c r="J1610"/>
      <c r="K1610"/>
    </row>
    <row r="1611" spans="1:11" s="21" customFormat="1">
      <c r="A1611"/>
      <c r="B1611"/>
      <c r="F1611"/>
      <c r="G1611"/>
      <c r="H1611"/>
      <c r="I1611" s="97"/>
      <c r="J1611"/>
      <c r="K1611"/>
    </row>
    <row r="1612" spans="1:11" s="21" customFormat="1">
      <c r="A1612"/>
      <c r="B1612"/>
      <c r="F1612"/>
      <c r="G1612"/>
      <c r="H1612"/>
      <c r="I1612" s="97"/>
      <c r="J1612"/>
      <c r="K1612"/>
    </row>
    <row r="1613" spans="1:11" s="21" customFormat="1">
      <c r="A1613"/>
      <c r="B1613"/>
      <c r="F1613"/>
      <c r="G1613"/>
      <c r="H1613"/>
      <c r="I1613" s="97"/>
      <c r="J1613"/>
      <c r="K1613"/>
    </row>
    <row r="1614" spans="1:11" s="21" customFormat="1">
      <c r="A1614"/>
      <c r="B1614"/>
      <c r="F1614"/>
      <c r="G1614"/>
      <c r="H1614"/>
      <c r="I1614" s="97"/>
      <c r="J1614"/>
      <c r="K1614"/>
    </row>
    <row r="1615" spans="1:11" s="21" customFormat="1">
      <c r="A1615"/>
      <c r="B1615"/>
      <c r="F1615"/>
      <c r="G1615"/>
      <c r="H1615"/>
      <c r="I1615" s="97"/>
      <c r="J1615"/>
      <c r="K1615"/>
    </row>
    <row r="1616" spans="1:11" s="21" customFormat="1">
      <c r="A1616"/>
      <c r="B1616"/>
      <c r="F1616"/>
      <c r="G1616"/>
      <c r="H1616"/>
      <c r="I1616" s="97"/>
      <c r="J1616"/>
      <c r="K1616"/>
    </row>
    <row r="1617" spans="1:11" s="21" customFormat="1">
      <c r="A1617"/>
      <c r="B1617"/>
      <c r="F1617"/>
      <c r="G1617"/>
      <c r="H1617"/>
      <c r="I1617" s="97"/>
      <c r="J1617"/>
      <c r="K1617"/>
    </row>
    <row r="1618" spans="1:11" s="21" customFormat="1">
      <c r="A1618"/>
      <c r="B1618"/>
      <c r="F1618"/>
      <c r="G1618"/>
      <c r="H1618"/>
      <c r="I1618" s="97"/>
      <c r="J1618"/>
      <c r="K1618"/>
    </row>
    <row r="1619" spans="1:11" s="21" customFormat="1">
      <c r="A1619"/>
      <c r="B1619"/>
      <c r="F1619"/>
      <c r="G1619"/>
      <c r="H1619"/>
      <c r="I1619" s="97"/>
      <c r="J1619"/>
      <c r="K1619"/>
    </row>
    <row r="1620" spans="1:11" s="21" customFormat="1">
      <c r="A1620"/>
      <c r="B1620"/>
      <c r="F1620"/>
      <c r="G1620"/>
      <c r="H1620"/>
      <c r="I1620" s="97"/>
      <c r="J1620"/>
      <c r="K1620"/>
    </row>
    <row r="1621" spans="1:11" s="21" customFormat="1">
      <c r="A1621"/>
      <c r="B1621"/>
      <c r="F1621"/>
      <c r="G1621"/>
      <c r="H1621"/>
      <c r="I1621" s="97"/>
      <c r="J1621"/>
      <c r="K1621"/>
    </row>
    <row r="1622" spans="1:11" s="21" customFormat="1">
      <c r="A1622"/>
      <c r="B1622"/>
      <c r="F1622"/>
      <c r="G1622"/>
      <c r="H1622"/>
      <c r="I1622" s="97"/>
      <c r="J1622"/>
      <c r="K1622"/>
    </row>
    <row r="1623" spans="1:11" s="21" customFormat="1">
      <c r="A1623"/>
      <c r="B1623"/>
      <c r="F1623"/>
      <c r="G1623"/>
      <c r="H1623"/>
      <c r="I1623" s="97"/>
      <c r="J1623"/>
      <c r="K1623"/>
    </row>
    <row r="1624" spans="1:11" s="21" customFormat="1">
      <c r="A1624"/>
      <c r="B1624"/>
      <c r="F1624"/>
      <c r="G1624"/>
      <c r="H1624"/>
      <c r="I1624" s="97"/>
      <c r="J1624"/>
      <c r="K1624"/>
    </row>
    <row r="1625" spans="1:11" s="21" customFormat="1">
      <c r="A1625"/>
      <c r="B1625"/>
      <c r="F1625"/>
      <c r="G1625"/>
      <c r="H1625"/>
      <c r="I1625" s="97"/>
      <c r="J1625"/>
      <c r="K1625"/>
    </row>
    <row r="1626" spans="1:11" s="21" customFormat="1">
      <c r="A1626"/>
      <c r="B1626"/>
      <c r="F1626"/>
      <c r="G1626"/>
      <c r="H1626"/>
      <c r="I1626" s="97"/>
      <c r="J1626"/>
      <c r="K1626"/>
    </row>
    <row r="1627" spans="1:11" s="21" customFormat="1">
      <c r="A1627"/>
      <c r="B1627"/>
      <c r="F1627"/>
      <c r="G1627"/>
      <c r="H1627"/>
      <c r="I1627" s="97"/>
      <c r="J1627"/>
      <c r="K1627"/>
    </row>
    <row r="1628" spans="1:11" s="21" customFormat="1">
      <c r="A1628"/>
      <c r="B1628"/>
      <c r="F1628"/>
      <c r="G1628"/>
      <c r="H1628"/>
      <c r="I1628" s="97"/>
      <c r="J1628"/>
      <c r="K1628"/>
    </row>
    <row r="1629" spans="1:11" s="21" customFormat="1">
      <c r="A1629"/>
      <c r="B1629"/>
      <c r="F1629"/>
      <c r="G1629"/>
      <c r="H1629"/>
      <c r="I1629" s="97"/>
      <c r="J1629"/>
      <c r="K1629"/>
    </row>
    <row r="1630" spans="1:11" s="21" customFormat="1">
      <c r="A1630"/>
      <c r="B1630"/>
      <c r="F1630"/>
      <c r="G1630"/>
      <c r="H1630"/>
      <c r="I1630" s="97"/>
      <c r="J1630"/>
      <c r="K1630"/>
    </row>
    <row r="1631" spans="1:11" s="21" customFormat="1">
      <c r="A1631"/>
      <c r="B1631"/>
      <c r="F1631"/>
      <c r="G1631"/>
      <c r="H1631"/>
      <c r="I1631" s="97"/>
      <c r="J1631"/>
      <c r="K1631"/>
    </row>
    <row r="1632" spans="1:11" s="21" customFormat="1">
      <c r="A1632"/>
      <c r="B1632"/>
      <c r="F1632"/>
      <c r="G1632"/>
      <c r="H1632"/>
      <c r="I1632" s="97"/>
      <c r="J1632"/>
      <c r="K1632"/>
    </row>
    <row r="1633" spans="1:11" s="21" customFormat="1">
      <c r="A1633"/>
      <c r="B1633"/>
      <c r="F1633"/>
      <c r="G1633"/>
      <c r="H1633"/>
      <c r="I1633" s="97"/>
      <c r="J1633"/>
      <c r="K1633"/>
    </row>
    <row r="1634" spans="1:11" s="21" customFormat="1">
      <c r="A1634"/>
      <c r="B1634"/>
      <c r="F1634"/>
      <c r="G1634"/>
      <c r="H1634"/>
      <c r="I1634" s="97"/>
      <c r="J1634"/>
      <c r="K1634"/>
    </row>
    <row r="1635" spans="1:11" s="21" customFormat="1">
      <c r="A1635"/>
      <c r="B1635"/>
      <c r="F1635"/>
      <c r="G1635"/>
      <c r="H1635"/>
      <c r="I1635" s="97"/>
      <c r="J1635"/>
      <c r="K1635"/>
    </row>
    <row r="1636" spans="1:11" s="21" customFormat="1">
      <c r="A1636"/>
      <c r="B1636"/>
      <c r="F1636"/>
      <c r="G1636"/>
      <c r="H1636"/>
      <c r="I1636" s="97"/>
      <c r="J1636"/>
      <c r="K1636"/>
    </row>
    <row r="1637" spans="1:11" s="21" customFormat="1">
      <c r="A1637"/>
      <c r="B1637"/>
      <c r="F1637"/>
      <c r="G1637"/>
      <c r="H1637"/>
      <c r="I1637" s="97"/>
      <c r="J1637"/>
      <c r="K1637"/>
    </row>
    <row r="1638" spans="1:11" s="21" customFormat="1">
      <c r="A1638"/>
      <c r="B1638"/>
      <c r="F1638"/>
      <c r="G1638"/>
      <c r="H1638"/>
      <c r="I1638" s="97"/>
      <c r="J1638"/>
      <c r="K1638"/>
    </row>
    <row r="1639" spans="1:11" s="21" customFormat="1">
      <c r="A1639"/>
      <c r="B1639"/>
      <c r="F1639"/>
      <c r="G1639"/>
      <c r="H1639"/>
      <c r="I1639" s="97"/>
      <c r="J1639"/>
      <c r="K1639"/>
    </row>
    <row r="1640" spans="1:11" s="21" customFormat="1">
      <c r="A1640"/>
      <c r="B1640"/>
      <c r="F1640"/>
      <c r="G1640"/>
      <c r="H1640"/>
      <c r="I1640" s="97"/>
      <c r="J1640"/>
      <c r="K1640"/>
    </row>
    <row r="1641" spans="1:11" s="21" customFormat="1">
      <c r="A1641"/>
      <c r="B1641"/>
      <c r="F1641"/>
      <c r="G1641"/>
      <c r="H1641"/>
      <c r="I1641" s="97"/>
      <c r="J1641"/>
      <c r="K1641"/>
    </row>
    <row r="1642" spans="1:11" s="21" customFormat="1">
      <c r="A1642"/>
      <c r="B1642"/>
      <c r="F1642"/>
      <c r="G1642"/>
      <c r="H1642"/>
      <c r="I1642" s="97"/>
      <c r="J1642"/>
      <c r="K1642"/>
    </row>
    <row r="1643" spans="1:11" s="21" customFormat="1">
      <c r="A1643"/>
      <c r="B1643"/>
      <c r="F1643"/>
      <c r="G1643"/>
      <c r="H1643"/>
      <c r="I1643" s="97"/>
      <c r="J1643"/>
      <c r="K1643"/>
    </row>
    <row r="1644" spans="1:11" s="21" customFormat="1">
      <c r="A1644"/>
      <c r="B1644"/>
      <c r="F1644"/>
      <c r="G1644"/>
      <c r="H1644"/>
      <c r="I1644" s="97"/>
      <c r="J1644"/>
      <c r="K1644"/>
    </row>
    <row r="1645" spans="1:11" s="21" customFormat="1">
      <c r="A1645"/>
      <c r="B1645"/>
      <c r="F1645"/>
      <c r="G1645"/>
      <c r="H1645"/>
      <c r="I1645" s="97"/>
      <c r="J1645"/>
      <c r="K1645"/>
    </row>
    <row r="1646" spans="1:11" s="21" customFormat="1">
      <c r="A1646"/>
      <c r="B1646"/>
      <c r="F1646"/>
      <c r="G1646"/>
      <c r="H1646"/>
      <c r="I1646" s="97"/>
      <c r="J1646"/>
      <c r="K1646"/>
    </row>
    <row r="1647" spans="1:11" s="21" customFormat="1">
      <c r="A1647"/>
      <c r="B1647"/>
      <c r="F1647"/>
      <c r="G1647"/>
      <c r="H1647"/>
      <c r="I1647" s="97"/>
      <c r="J1647"/>
      <c r="K1647"/>
    </row>
    <row r="1648" spans="1:11" s="21" customFormat="1">
      <c r="A1648"/>
      <c r="B1648"/>
      <c r="F1648"/>
      <c r="G1648"/>
      <c r="H1648"/>
      <c r="I1648" s="97"/>
      <c r="J1648"/>
      <c r="K1648"/>
    </row>
    <row r="1649" spans="1:11" s="21" customFormat="1">
      <c r="A1649"/>
      <c r="B1649"/>
      <c r="F1649"/>
      <c r="G1649"/>
      <c r="H1649"/>
      <c r="I1649" s="97"/>
      <c r="J1649"/>
      <c r="K1649"/>
    </row>
    <row r="1650" spans="1:11" s="21" customFormat="1">
      <c r="A1650"/>
      <c r="B1650"/>
      <c r="F1650"/>
      <c r="G1650"/>
      <c r="H1650"/>
      <c r="I1650" s="97"/>
      <c r="J1650"/>
      <c r="K1650"/>
    </row>
    <row r="1651" spans="1:11" s="21" customFormat="1">
      <c r="A1651"/>
      <c r="B1651"/>
      <c r="F1651"/>
      <c r="G1651"/>
      <c r="H1651"/>
      <c r="I1651" s="97"/>
      <c r="J1651"/>
      <c r="K1651"/>
    </row>
    <row r="1652" spans="1:11" s="21" customFormat="1">
      <c r="A1652"/>
      <c r="B1652"/>
      <c r="F1652"/>
      <c r="G1652"/>
      <c r="H1652"/>
      <c r="I1652" s="97"/>
      <c r="J1652"/>
      <c r="K1652"/>
    </row>
    <row r="1653" spans="1:11" s="21" customFormat="1">
      <c r="A1653"/>
      <c r="B1653"/>
      <c r="F1653"/>
      <c r="G1653"/>
      <c r="H1653"/>
      <c r="I1653" s="97"/>
      <c r="J1653"/>
      <c r="K1653"/>
    </row>
    <row r="1654" spans="1:11" s="21" customFormat="1">
      <c r="A1654"/>
      <c r="B1654"/>
      <c r="F1654"/>
      <c r="G1654"/>
      <c r="H1654"/>
      <c r="I1654" s="97"/>
      <c r="J1654"/>
      <c r="K1654"/>
    </row>
    <row r="1655" spans="1:11" s="21" customFormat="1">
      <c r="A1655"/>
      <c r="B1655"/>
      <c r="F1655"/>
      <c r="G1655"/>
      <c r="H1655"/>
      <c r="I1655" s="97"/>
      <c r="J1655"/>
      <c r="K1655"/>
    </row>
    <row r="1656" spans="1:11" s="21" customFormat="1">
      <c r="A1656"/>
      <c r="B1656"/>
      <c r="F1656"/>
      <c r="G1656"/>
      <c r="H1656"/>
      <c r="I1656" s="97"/>
      <c r="J1656"/>
      <c r="K1656"/>
    </row>
    <row r="1657" spans="1:11" s="21" customFormat="1">
      <c r="A1657"/>
      <c r="B1657"/>
      <c r="F1657"/>
      <c r="G1657"/>
      <c r="H1657"/>
      <c r="I1657" s="97"/>
      <c r="J1657"/>
      <c r="K1657"/>
    </row>
    <row r="1658" spans="1:11" s="21" customFormat="1">
      <c r="A1658"/>
      <c r="B1658"/>
      <c r="F1658"/>
      <c r="G1658"/>
      <c r="H1658"/>
      <c r="I1658" s="97"/>
      <c r="J1658"/>
      <c r="K1658"/>
    </row>
    <row r="1659" spans="1:11" s="21" customFormat="1">
      <c r="A1659"/>
      <c r="B1659"/>
      <c r="F1659"/>
      <c r="G1659"/>
      <c r="H1659"/>
      <c r="I1659" s="97"/>
      <c r="J1659"/>
      <c r="K1659"/>
    </row>
    <row r="1660" spans="1:11" s="21" customFormat="1">
      <c r="A1660"/>
      <c r="B1660"/>
      <c r="F1660"/>
      <c r="G1660"/>
      <c r="H1660"/>
      <c r="I1660" s="97"/>
      <c r="J1660"/>
      <c r="K1660"/>
    </row>
    <row r="1661" spans="1:11" s="21" customFormat="1">
      <c r="A1661"/>
      <c r="B1661"/>
      <c r="F1661"/>
      <c r="G1661"/>
      <c r="H1661"/>
      <c r="I1661" s="97"/>
      <c r="J1661"/>
      <c r="K1661"/>
    </row>
    <row r="1662" spans="1:11" s="21" customFormat="1">
      <c r="A1662"/>
      <c r="B1662"/>
      <c r="F1662"/>
      <c r="G1662"/>
      <c r="H1662"/>
      <c r="I1662" s="97"/>
      <c r="J1662"/>
      <c r="K1662"/>
    </row>
    <row r="1663" spans="1:11" s="21" customFormat="1">
      <c r="A1663"/>
      <c r="B1663"/>
      <c r="F1663"/>
      <c r="G1663"/>
      <c r="H1663"/>
      <c r="I1663" s="97"/>
      <c r="J1663"/>
      <c r="K1663"/>
    </row>
    <row r="1664" spans="1:11" s="21" customFormat="1">
      <c r="A1664"/>
      <c r="B1664"/>
      <c r="F1664"/>
      <c r="G1664"/>
      <c r="H1664"/>
      <c r="I1664" s="97"/>
      <c r="J1664"/>
      <c r="K1664"/>
    </row>
    <row r="1665" spans="1:11" s="21" customFormat="1">
      <c r="A1665"/>
      <c r="B1665"/>
      <c r="F1665"/>
      <c r="G1665"/>
      <c r="H1665"/>
      <c r="I1665" s="97"/>
      <c r="J1665"/>
      <c r="K1665"/>
    </row>
    <row r="1666" spans="1:11" s="21" customFormat="1">
      <c r="A1666"/>
      <c r="B1666"/>
      <c r="F1666"/>
      <c r="G1666"/>
      <c r="H1666"/>
      <c r="I1666" s="97"/>
      <c r="J1666"/>
      <c r="K1666"/>
    </row>
    <row r="1667" spans="1:11" s="21" customFormat="1">
      <c r="A1667"/>
      <c r="B1667"/>
      <c r="F1667"/>
      <c r="G1667"/>
      <c r="H1667"/>
      <c r="I1667" s="97"/>
      <c r="J1667"/>
      <c r="K1667"/>
    </row>
    <row r="1668" spans="1:11" s="21" customFormat="1">
      <c r="A1668"/>
      <c r="B1668"/>
      <c r="F1668"/>
      <c r="G1668"/>
      <c r="H1668"/>
      <c r="I1668" s="97"/>
      <c r="J1668"/>
      <c r="K1668"/>
    </row>
    <row r="1669" spans="1:11" s="21" customFormat="1">
      <c r="A1669"/>
      <c r="B1669"/>
      <c r="F1669"/>
      <c r="G1669"/>
      <c r="H1669"/>
      <c r="I1669" s="97"/>
      <c r="J1669"/>
      <c r="K1669"/>
    </row>
    <row r="1670" spans="1:11" s="21" customFormat="1">
      <c r="A1670"/>
      <c r="B1670"/>
      <c r="F1670"/>
      <c r="G1670"/>
      <c r="H1670"/>
      <c r="I1670" s="97"/>
      <c r="J1670"/>
      <c r="K1670"/>
    </row>
    <row r="1671" spans="1:11" s="21" customFormat="1">
      <c r="A1671"/>
      <c r="B1671"/>
      <c r="F1671"/>
      <c r="G1671"/>
      <c r="H1671"/>
      <c r="I1671" s="97"/>
      <c r="J1671"/>
      <c r="K1671"/>
    </row>
    <row r="1672" spans="1:11" s="21" customFormat="1">
      <c r="A1672"/>
      <c r="B1672"/>
      <c r="F1672"/>
      <c r="G1672"/>
      <c r="H1672"/>
      <c r="I1672" s="97"/>
      <c r="J1672"/>
      <c r="K1672"/>
    </row>
    <row r="1673" spans="1:11" s="21" customFormat="1">
      <c r="A1673"/>
      <c r="B1673"/>
      <c r="F1673"/>
      <c r="G1673"/>
      <c r="H1673"/>
      <c r="I1673" s="97"/>
      <c r="J1673"/>
      <c r="K1673"/>
    </row>
    <row r="1674" spans="1:11" s="21" customFormat="1">
      <c r="A1674"/>
      <c r="B1674"/>
      <c r="F1674"/>
      <c r="G1674"/>
      <c r="H1674"/>
      <c r="I1674" s="97"/>
      <c r="J1674"/>
      <c r="K1674"/>
    </row>
    <row r="1675" spans="1:11" s="21" customFormat="1">
      <c r="A1675"/>
      <c r="B1675"/>
      <c r="F1675"/>
      <c r="G1675"/>
      <c r="H1675"/>
      <c r="I1675" s="97"/>
      <c r="J1675"/>
      <c r="K1675"/>
    </row>
    <row r="1676" spans="1:11" s="21" customFormat="1">
      <c r="A1676"/>
      <c r="B1676"/>
      <c r="F1676"/>
      <c r="G1676"/>
      <c r="H1676"/>
      <c r="I1676" s="97"/>
      <c r="J1676"/>
      <c r="K1676"/>
    </row>
    <row r="1677" spans="1:11" s="21" customFormat="1">
      <c r="A1677"/>
      <c r="B1677"/>
      <c r="F1677"/>
      <c r="G1677"/>
      <c r="H1677"/>
      <c r="I1677" s="97"/>
      <c r="J1677"/>
      <c r="K1677"/>
    </row>
    <row r="1678" spans="1:11" s="21" customFormat="1">
      <c r="A1678"/>
      <c r="B1678"/>
      <c r="F1678"/>
      <c r="G1678"/>
      <c r="H1678"/>
      <c r="I1678" s="97"/>
      <c r="J1678"/>
      <c r="K1678"/>
    </row>
    <row r="1679" spans="1:11" s="21" customFormat="1">
      <c r="A1679"/>
      <c r="B1679"/>
      <c r="F1679"/>
      <c r="G1679"/>
      <c r="H1679"/>
      <c r="I1679" s="97"/>
      <c r="J1679"/>
      <c r="K1679"/>
    </row>
    <row r="1680" spans="1:11" s="21" customFormat="1">
      <c r="A1680"/>
      <c r="B1680"/>
      <c r="F1680"/>
      <c r="G1680"/>
      <c r="H1680"/>
      <c r="I1680" s="97"/>
      <c r="J1680"/>
      <c r="K1680"/>
    </row>
    <row r="1681" spans="1:11" s="21" customFormat="1">
      <c r="A1681"/>
      <c r="B1681"/>
      <c r="F1681"/>
      <c r="G1681"/>
      <c r="H1681"/>
      <c r="I1681" s="97"/>
      <c r="J1681"/>
      <c r="K1681"/>
    </row>
    <row r="1682" spans="1:11" s="21" customFormat="1">
      <c r="A1682"/>
      <c r="B1682"/>
      <c r="F1682"/>
      <c r="G1682"/>
      <c r="H1682"/>
      <c r="I1682" s="97"/>
      <c r="J1682"/>
      <c r="K1682"/>
    </row>
    <row r="1683" spans="1:11" s="21" customFormat="1">
      <c r="A1683"/>
      <c r="B1683"/>
      <c r="F1683"/>
      <c r="G1683"/>
      <c r="H1683"/>
      <c r="I1683" s="97"/>
      <c r="J1683"/>
      <c r="K1683"/>
    </row>
    <row r="1684" spans="1:11" s="21" customFormat="1">
      <c r="A1684"/>
      <c r="B1684"/>
      <c r="F1684"/>
      <c r="G1684"/>
      <c r="H1684"/>
      <c r="I1684" s="97"/>
      <c r="J1684"/>
      <c r="K1684"/>
    </row>
    <row r="1685" spans="1:11" s="21" customFormat="1">
      <c r="A1685"/>
      <c r="B1685"/>
      <c r="F1685"/>
      <c r="G1685"/>
      <c r="H1685"/>
      <c r="I1685" s="97"/>
      <c r="J1685"/>
      <c r="K1685"/>
    </row>
    <row r="1686" spans="1:11" s="21" customFormat="1">
      <c r="A1686"/>
      <c r="B1686"/>
      <c r="F1686"/>
      <c r="G1686"/>
      <c r="H1686"/>
      <c r="I1686" s="97"/>
      <c r="J1686"/>
      <c r="K1686"/>
    </row>
    <row r="1687" spans="1:11" s="21" customFormat="1">
      <c r="A1687"/>
      <c r="B1687"/>
      <c r="F1687"/>
      <c r="G1687"/>
      <c r="H1687"/>
      <c r="I1687" s="97"/>
      <c r="J1687"/>
      <c r="K1687"/>
    </row>
    <row r="1688" spans="1:11" s="21" customFormat="1">
      <c r="A1688"/>
      <c r="B1688"/>
      <c r="F1688"/>
      <c r="G1688"/>
      <c r="H1688"/>
      <c r="I1688" s="97"/>
      <c r="J1688"/>
      <c r="K1688"/>
    </row>
    <row r="1689" spans="1:11" s="21" customFormat="1">
      <c r="A1689"/>
      <c r="B1689"/>
      <c r="F1689"/>
      <c r="G1689"/>
      <c r="H1689"/>
      <c r="I1689" s="97"/>
      <c r="J1689"/>
      <c r="K1689"/>
    </row>
    <row r="1690" spans="1:11" s="21" customFormat="1">
      <c r="A1690"/>
      <c r="B1690"/>
      <c r="F1690"/>
      <c r="G1690"/>
      <c r="H1690"/>
      <c r="I1690" s="97"/>
      <c r="J1690"/>
      <c r="K1690"/>
    </row>
    <row r="1691" spans="1:11" s="21" customFormat="1">
      <c r="A1691"/>
      <c r="B1691"/>
      <c r="F1691"/>
      <c r="G1691"/>
      <c r="H1691"/>
      <c r="I1691" s="97"/>
      <c r="J1691"/>
      <c r="K1691"/>
    </row>
    <row r="1692" spans="1:11" s="21" customFormat="1">
      <c r="A1692"/>
      <c r="B1692"/>
      <c r="F1692"/>
      <c r="G1692"/>
      <c r="H1692"/>
      <c r="I1692" s="97"/>
      <c r="J1692"/>
      <c r="K1692"/>
    </row>
    <row r="1693" spans="1:11" s="21" customFormat="1">
      <c r="A1693"/>
      <c r="B1693"/>
      <c r="F1693"/>
      <c r="G1693"/>
      <c r="H1693"/>
      <c r="I1693" s="97"/>
      <c r="J1693"/>
      <c r="K1693"/>
    </row>
    <row r="1694" spans="1:11" s="21" customFormat="1">
      <c r="A1694"/>
      <c r="B1694"/>
      <c r="F1694"/>
      <c r="G1694"/>
      <c r="H1694"/>
      <c r="I1694" s="97"/>
      <c r="J1694"/>
      <c r="K1694"/>
    </row>
    <row r="1695" spans="1:11" s="21" customFormat="1">
      <c r="A1695"/>
      <c r="B1695"/>
      <c r="F1695"/>
      <c r="G1695"/>
      <c r="H1695"/>
      <c r="I1695" s="97"/>
      <c r="J1695"/>
      <c r="K1695"/>
    </row>
    <row r="1696" spans="1:11" s="21" customFormat="1">
      <c r="A1696"/>
      <c r="B1696"/>
      <c r="F1696"/>
      <c r="G1696"/>
      <c r="H1696"/>
      <c r="I1696" s="97"/>
      <c r="J1696"/>
      <c r="K1696"/>
    </row>
    <row r="1697" spans="1:11" s="21" customFormat="1">
      <c r="A1697"/>
      <c r="B1697"/>
      <c r="F1697"/>
      <c r="G1697"/>
      <c r="H1697"/>
      <c r="I1697" s="97"/>
      <c r="J1697"/>
      <c r="K1697"/>
    </row>
    <row r="1698" spans="1:11" s="21" customFormat="1">
      <c r="A1698"/>
      <c r="B1698"/>
      <c r="F1698"/>
      <c r="G1698"/>
      <c r="H1698"/>
      <c r="I1698" s="97"/>
      <c r="J1698"/>
      <c r="K1698"/>
    </row>
    <row r="1699" spans="1:11" s="21" customFormat="1">
      <c r="A1699"/>
      <c r="B1699"/>
      <c r="F1699"/>
      <c r="G1699"/>
      <c r="H1699"/>
      <c r="I1699" s="97"/>
      <c r="J1699"/>
      <c r="K1699"/>
    </row>
    <row r="1700" spans="1:11" s="21" customFormat="1">
      <c r="A1700"/>
      <c r="B1700"/>
      <c r="F1700"/>
      <c r="G1700"/>
      <c r="H1700"/>
      <c r="I1700" s="97"/>
      <c r="J1700"/>
      <c r="K1700"/>
    </row>
    <row r="1701" spans="1:11" s="21" customFormat="1">
      <c r="A1701"/>
      <c r="B1701"/>
      <c r="F1701"/>
      <c r="G1701"/>
      <c r="H1701"/>
      <c r="I1701" s="97"/>
      <c r="J1701"/>
      <c r="K1701"/>
    </row>
    <row r="1702" spans="1:11" s="21" customFormat="1">
      <c r="A1702"/>
      <c r="B1702"/>
      <c r="F1702"/>
      <c r="G1702"/>
      <c r="H1702"/>
      <c r="I1702" s="97"/>
      <c r="J1702"/>
      <c r="K1702"/>
    </row>
    <row r="1703" spans="1:11" s="21" customFormat="1">
      <c r="A1703"/>
      <c r="B1703"/>
      <c r="F1703"/>
      <c r="G1703"/>
      <c r="H1703"/>
      <c r="I1703" s="97"/>
      <c r="J1703"/>
      <c r="K1703"/>
    </row>
    <row r="1704" spans="1:11" s="21" customFormat="1">
      <c r="A1704"/>
      <c r="B1704"/>
      <c r="F1704"/>
      <c r="G1704"/>
      <c r="H1704"/>
      <c r="I1704" s="97"/>
      <c r="J1704"/>
      <c r="K1704"/>
    </row>
    <row r="1705" spans="1:11" s="21" customFormat="1">
      <c r="A1705"/>
      <c r="B1705"/>
      <c r="F1705"/>
      <c r="G1705"/>
      <c r="H1705"/>
      <c r="I1705" s="97"/>
      <c r="J1705"/>
      <c r="K1705"/>
    </row>
    <row r="1706" spans="1:11" s="21" customFormat="1">
      <c r="A1706"/>
      <c r="B1706"/>
      <c r="F1706"/>
      <c r="G1706"/>
      <c r="H1706"/>
      <c r="I1706" s="97"/>
      <c r="J1706"/>
      <c r="K1706"/>
    </row>
    <row r="1707" spans="1:11" s="21" customFormat="1">
      <c r="A1707"/>
      <c r="B1707"/>
      <c r="F1707"/>
      <c r="G1707"/>
      <c r="H1707"/>
      <c r="I1707" s="97"/>
      <c r="J1707"/>
      <c r="K1707"/>
    </row>
    <row r="1708" spans="1:11" s="21" customFormat="1">
      <c r="A1708"/>
      <c r="B1708"/>
      <c r="F1708"/>
      <c r="G1708"/>
      <c r="H1708"/>
      <c r="I1708" s="97"/>
      <c r="J1708"/>
      <c r="K1708"/>
    </row>
    <row r="1709" spans="1:11" s="21" customFormat="1">
      <c r="A1709"/>
      <c r="B1709"/>
      <c r="F1709"/>
      <c r="G1709"/>
      <c r="H1709"/>
      <c r="I1709" s="97"/>
      <c r="J1709"/>
      <c r="K1709"/>
    </row>
    <row r="1710" spans="1:11" s="21" customFormat="1">
      <c r="A1710"/>
      <c r="B1710"/>
      <c r="F1710"/>
      <c r="G1710"/>
      <c r="H1710"/>
      <c r="I1710" s="97"/>
      <c r="J1710"/>
      <c r="K1710"/>
    </row>
    <row r="1711" spans="1:11" s="21" customFormat="1">
      <c r="A1711"/>
      <c r="B1711"/>
      <c r="F1711"/>
      <c r="G1711"/>
      <c r="H1711"/>
      <c r="I1711" s="97"/>
      <c r="J1711"/>
      <c r="K1711"/>
    </row>
    <row r="1712" spans="1:11" s="21" customFormat="1">
      <c r="A1712"/>
      <c r="B1712"/>
      <c r="F1712"/>
      <c r="G1712"/>
      <c r="H1712"/>
      <c r="I1712" s="97"/>
      <c r="J1712"/>
      <c r="K1712"/>
    </row>
    <row r="1713" spans="1:11" s="21" customFormat="1">
      <c r="A1713"/>
      <c r="B1713"/>
      <c r="F1713"/>
      <c r="G1713"/>
      <c r="H1713"/>
      <c r="I1713" s="97"/>
      <c r="J1713"/>
      <c r="K1713"/>
    </row>
    <row r="1714" spans="1:11" s="21" customFormat="1">
      <c r="A1714"/>
      <c r="B1714"/>
      <c r="F1714"/>
      <c r="G1714"/>
      <c r="H1714"/>
      <c r="I1714" s="97"/>
      <c r="J1714"/>
      <c r="K1714"/>
    </row>
    <row r="1715" spans="1:11" s="21" customFormat="1">
      <c r="A1715"/>
      <c r="B1715"/>
      <c r="F1715"/>
      <c r="G1715"/>
      <c r="H1715"/>
      <c r="I1715" s="97"/>
      <c r="J1715"/>
      <c r="K1715"/>
    </row>
    <row r="1716" spans="1:11" s="21" customFormat="1">
      <c r="A1716"/>
      <c r="B1716"/>
      <c r="F1716"/>
      <c r="G1716"/>
      <c r="H1716"/>
      <c r="I1716" s="97"/>
      <c r="J1716"/>
      <c r="K1716"/>
    </row>
    <row r="1717" spans="1:11" s="21" customFormat="1">
      <c r="A1717"/>
      <c r="B1717"/>
      <c r="F1717"/>
      <c r="G1717"/>
      <c r="H1717"/>
      <c r="I1717" s="97"/>
      <c r="J1717"/>
      <c r="K1717"/>
    </row>
    <row r="1718" spans="1:11" s="21" customFormat="1">
      <c r="A1718"/>
      <c r="B1718"/>
      <c r="F1718"/>
      <c r="G1718"/>
      <c r="H1718"/>
      <c r="I1718" s="97"/>
      <c r="J1718"/>
      <c r="K1718"/>
    </row>
    <row r="1719" spans="1:11" s="21" customFormat="1">
      <c r="A1719"/>
      <c r="B1719"/>
      <c r="F1719"/>
      <c r="G1719"/>
      <c r="H1719"/>
      <c r="I1719" s="97"/>
      <c r="J1719"/>
      <c r="K1719"/>
    </row>
    <row r="1720" spans="1:11" s="21" customFormat="1">
      <c r="A1720"/>
      <c r="B1720"/>
      <c r="F1720"/>
      <c r="G1720"/>
      <c r="H1720"/>
      <c r="I1720" s="97"/>
      <c r="J1720"/>
      <c r="K1720"/>
    </row>
    <row r="1721" spans="1:11" s="21" customFormat="1">
      <c r="A1721"/>
      <c r="B1721"/>
      <c r="F1721"/>
      <c r="G1721"/>
      <c r="H1721"/>
      <c r="I1721" s="97"/>
      <c r="J1721"/>
      <c r="K1721"/>
    </row>
    <row r="1722" spans="1:11" s="21" customFormat="1">
      <c r="A1722"/>
      <c r="B1722"/>
      <c r="F1722"/>
      <c r="G1722"/>
      <c r="H1722"/>
      <c r="I1722" s="97"/>
      <c r="J1722"/>
      <c r="K1722"/>
    </row>
    <row r="1723" spans="1:11" s="21" customFormat="1">
      <c r="A1723"/>
      <c r="B1723"/>
      <c r="F1723"/>
      <c r="G1723"/>
      <c r="H1723"/>
      <c r="I1723" s="97"/>
      <c r="J1723"/>
      <c r="K1723"/>
    </row>
    <row r="1724" spans="1:11" s="21" customFormat="1">
      <c r="A1724"/>
      <c r="B1724"/>
      <c r="F1724"/>
      <c r="G1724"/>
      <c r="H1724"/>
      <c r="I1724" s="97"/>
      <c r="J1724"/>
      <c r="K1724"/>
    </row>
    <row r="1725" spans="1:11" s="21" customFormat="1">
      <c r="A1725"/>
      <c r="B1725"/>
      <c r="F1725"/>
      <c r="G1725"/>
      <c r="H1725"/>
      <c r="I1725" s="97"/>
      <c r="J1725"/>
      <c r="K1725"/>
    </row>
    <row r="1726" spans="1:11" s="21" customFormat="1">
      <c r="A1726"/>
      <c r="B1726"/>
      <c r="F1726"/>
      <c r="G1726"/>
      <c r="H1726"/>
      <c r="I1726" s="97"/>
      <c r="J1726"/>
      <c r="K1726"/>
    </row>
    <row r="1727" spans="1:11" s="21" customFormat="1">
      <c r="A1727"/>
      <c r="B1727"/>
      <c r="F1727"/>
      <c r="G1727"/>
      <c r="H1727"/>
      <c r="I1727" s="97"/>
      <c r="J1727"/>
      <c r="K1727"/>
    </row>
    <row r="1728" spans="1:11" s="21" customFormat="1">
      <c r="A1728"/>
      <c r="B1728"/>
      <c r="F1728"/>
      <c r="G1728"/>
      <c r="H1728"/>
      <c r="I1728" s="97"/>
      <c r="J1728"/>
      <c r="K1728"/>
    </row>
    <row r="1729" spans="1:11" s="21" customFormat="1">
      <c r="A1729"/>
      <c r="B1729"/>
      <c r="F1729"/>
      <c r="G1729"/>
      <c r="H1729"/>
      <c r="I1729" s="97"/>
      <c r="J1729"/>
      <c r="K1729"/>
    </row>
    <row r="1730" spans="1:11" s="21" customFormat="1">
      <c r="A1730"/>
      <c r="B1730"/>
      <c r="F1730"/>
      <c r="G1730"/>
      <c r="H1730"/>
      <c r="I1730" s="97"/>
      <c r="J1730"/>
      <c r="K1730"/>
    </row>
    <row r="1731" spans="1:11" s="21" customFormat="1">
      <c r="A1731"/>
      <c r="B1731"/>
      <c r="F1731"/>
      <c r="G1731"/>
      <c r="H1731"/>
      <c r="I1731" s="97"/>
      <c r="J1731"/>
      <c r="K1731"/>
    </row>
    <row r="1732" spans="1:11" s="21" customFormat="1">
      <c r="A1732"/>
      <c r="B1732"/>
      <c r="F1732"/>
      <c r="G1732"/>
      <c r="H1732"/>
      <c r="I1732" s="97"/>
      <c r="J1732"/>
      <c r="K1732"/>
    </row>
    <row r="1733" spans="1:11" s="21" customFormat="1">
      <c r="A1733"/>
      <c r="B1733"/>
      <c r="F1733"/>
      <c r="G1733"/>
      <c r="H1733"/>
      <c r="I1733" s="97"/>
      <c r="J1733"/>
      <c r="K1733"/>
    </row>
    <row r="1734" spans="1:11" s="21" customFormat="1">
      <c r="A1734"/>
      <c r="B1734"/>
      <c r="F1734"/>
      <c r="G1734"/>
      <c r="H1734"/>
      <c r="I1734" s="97"/>
      <c r="J1734"/>
      <c r="K1734"/>
    </row>
    <row r="1735" spans="1:11" s="21" customFormat="1">
      <c r="A1735"/>
      <c r="B1735"/>
      <c r="F1735"/>
      <c r="G1735"/>
      <c r="H1735"/>
      <c r="I1735" s="97"/>
      <c r="J1735"/>
      <c r="K1735"/>
    </row>
    <row r="1736" spans="1:11" s="21" customFormat="1">
      <c r="A1736"/>
      <c r="B1736"/>
      <c r="F1736"/>
      <c r="G1736"/>
      <c r="H1736"/>
      <c r="I1736" s="97"/>
      <c r="J1736"/>
      <c r="K1736"/>
    </row>
    <row r="1737" spans="1:11" s="21" customFormat="1">
      <c r="A1737"/>
      <c r="B1737"/>
      <c r="F1737"/>
      <c r="G1737"/>
      <c r="H1737"/>
      <c r="I1737" s="97"/>
      <c r="J1737"/>
      <c r="K1737"/>
    </row>
    <row r="1738" spans="1:11" s="21" customFormat="1">
      <c r="A1738"/>
      <c r="B1738"/>
      <c r="F1738"/>
      <c r="G1738"/>
      <c r="H1738"/>
      <c r="I1738" s="97"/>
      <c r="J1738"/>
      <c r="K1738"/>
    </row>
    <row r="1739" spans="1:11" s="21" customFormat="1">
      <c r="A1739"/>
      <c r="B1739"/>
      <c r="F1739"/>
      <c r="G1739"/>
      <c r="H1739"/>
      <c r="I1739" s="97"/>
      <c r="J1739"/>
      <c r="K1739"/>
    </row>
    <row r="1740" spans="1:11" s="21" customFormat="1">
      <c r="A1740"/>
      <c r="B1740"/>
      <c r="F1740"/>
      <c r="G1740"/>
      <c r="H1740"/>
      <c r="I1740" s="97"/>
      <c r="J1740"/>
      <c r="K1740"/>
    </row>
    <row r="1741" spans="1:11" s="21" customFormat="1">
      <c r="A1741"/>
      <c r="B1741"/>
      <c r="F1741"/>
      <c r="G1741"/>
      <c r="H1741"/>
      <c r="I1741" s="97"/>
      <c r="J1741"/>
      <c r="K1741"/>
    </row>
    <row r="1742" spans="1:11" s="21" customFormat="1">
      <c r="A1742"/>
      <c r="B1742"/>
      <c r="F1742"/>
      <c r="G1742"/>
      <c r="H1742"/>
      <c r="I1742" s="97"/>
      <c r="J1742"/>
      <c r="K1742"/>
    </row>
    <row r="1743" spans="1:11" s="21" customFormat="1">
      <c r="A1743"/>
      <c r="B1743"/>
      <c r="F1743"/>
      <c r="G1743"/>
      <c r="H1743"/>
      <c r="I1743" s="97"/>
      <c r="J1743"/>
      <c r="K1743"/>
    </row>
    <row r="1744" spans="1:11" s="21" customFormat="1">
      <c r="A1744"/>
      <c r="B1744"/>
      <c r="F1744"/>
      <c r="G1744"/>
      <c r="H1744"/>
      <c r="I1744" s="97"/>
      <c r="J1744"/>
      <c r="K1744"/>
    </row>
    <row r="1745" spans="1:11" s="21" customFormat="1">
      <c r="A1745"/>
      <c r="B1745"/>
      <c r="F1745"/>
      <c r="G1745"/>
      <c r="H1745"/>
      <c r="I1745" s="97"/>
      <c r="J1745"/>
      <c r="K1745"/>
    </row>
    <row r="1746" spans="1:11" s="21" customFormat="1">
      <c r="A1746"/>
      <c r="B1746"/>
      <c r="F1746"/>
      <c r="G1746"/>
      <c r="H1746"/>
      <c r="I1746" s="97"/>
      <c r="J1746"/>
      <c r="K1746"/>
    </row>
    <row r="1747" spans="1:11" s="21" customFormat="1">
      <c r="A1747"/>
      <c r="B1747"/>
      <c r="F1747"/>
      <c r="G1747"/>
      <c r="H1747"/>
      <c r="I1747" s="97"/>
      <c r="J1747"/>
      <c r="K1747"/>
    </row>
    <row r="1748" spans="1:11" s="21" customFormat="1">
      <c r="A1748"/>
      <c r="B1748"/>
      <c r="F1748"/>
      <c r="G1748"/>
      <c r="H1748"/>
      <c r="I1748" s="97"/>
      <c r="J1748"/>
      <c r="K1748"/>
    </row>
    <row r="1749" spans="1:11" s="21" customFormat="1">
      <c r="A1749"/>
      <c r="B1749"/>
      <c r="F1749"/>
      <c r="G1749"/>
      <c r="H1749"/>
      <c r="I1749" s="97"/>
      <c r="J1749"/>
      <c r="K1749"/>
    </row>
    <row r="1750" spans="1:11" s="21" customFormat="1">
      <c r="A1750"/>
      <c r="B1750"/>
      <c r="F1750"/>
      <c r="G1750"/>
      <c r="H1750"/>
      <c r="I1750" s="97"/>
      <c r="J1750"/>
      <c r="K1750"/>
    </row>
    <row r="1751" spans="1:11" s="21" customFormat="1">
      <c r="A1751"/>
      <c r="B1751"/>
      <c r="F1751"/>
      <c r="G1751"/>
      <c r="H1751"/>
      <c r="I1751" s="97"/>
      <c r="J1751"/>
      <c r="K1751"/>
    </row>
    <row r="1752" spans="1:11" s="21" customFormat="1">
      <c r="A1752"/>
      <c r="B1752"/>
      <c r="F1752"/>
      <c r="G1752"/>
      <c r="H1752"/>
      <c r="I1752" s="97"/>
      <c r="J1752"/>
      <c r="K1752"/>
    </row>
    <row r="1753" spans="1:11" s="21" customFormat="1">
      <c r="A1753"/>
      <c r="B1753"/>
      <c r="F1753"/>
      <c r="G1753"/>
      <c r="H1753"/>
      <c r="I1753" s="97"/>
      <c r="J1753"/>
      <c r="K1753"/>
    </row>
    <row r="1754" spans="1:11" s="21" customFormat="1">
      <c r="A1754"/>
      <c r="B1754"/>
      <c r="F1754"/>
      <c r="G1754"/>
      <c r="H1754"/>
      <c r="I1754" s="97"/>
      <c r="J1754"/>
      <c r="K1754"/>
    </row>
    <row r="1755" spans="1:11" s="21" customFormat="1">
      <c r="A1755"/>
      <c r="B1755"/>
      <c r="F1755"/>
      <c r="G1755"/>
      <c r="H1755"/>
      <c r="I1755" s="97"/>
      <c r="J1755"/>
      <c r="K1755"/>
    </row>
    <row r="1756" spans="1:11" s="21" customFormat="1">
      <c r="A1756"/>
      <c r="B1756"/>
      <c r="F1756"/>
      <c r="G1756"/>
      <c r="H1756"/>
      <c r="I1756" s="97"/>
      <c r="J1756"/>
      <c r="K1756"/>
    </row>
    <row r="1757" spans="1:11" s="21" customFormat="1">
      <c r="A1757"/>
      <c r="B1757"/>
      <c r="F1757"/>
      <c r="G1757"/>
      <c r="H1757"/>
      <c r="I1757" s="97"/>
      <c r="J1757"/>
      <c r="K1757"/>
    </row>
    <row r="1758" spans="1:11" s="21" customFormat="1">
      <c r="A1758"/>
      <c r="B1758"/>
      <c r="F1758"/>
      <c r="G1758"/>
      <c r="H1758"/>
      <c r="I1758" s="97"/>
      <c r="J1758"/>
      <c r="K1758"/>
    </row>
    <row r="1759" spans="1:11" s="21" customFormat="1">
      <c r="A1759"/>
      <c r="B1759"/>
      <c r="F1759"/>
      <c r="G1759"/>
      <c r="H1759"/>
      <c r="I1759" s="97"/>
      <c r="J1759"/>
      <c r="K1759"/>
    </row>
    <row r="1760" spans="1:11" s="21" customFormat="1">
      <c r="A1760"/>
      <c r="B1760"/>
      <c r="F1760"/>
      <c r="G1760"/>
      <c r="H1760"/>
      <c r="I1760" s="97"/>
      <c r="J1760"/>
      <c r="K1760"/>
    </row>
    <row r="1761" spans="1:11" s="21" customFormat="1">
      <c r="A1761"/>
      <c r="B1761"/>
      <c r="F1761"/>
      <c r="G1761"/>
      <c r="H1761"/>
      <c r="I1761" s="97"/>
      <c r="J1761"/>
      <c r="K1761"/>
    </row>
    <row r="1762" spans="1:11" s="21" customFormat="1">
      <c r="A1762"/>
      <c r="B1762"/>
      <c r="F1762"/>
      <c r="G1762"/>
      <c r="H1762"/>
      <c r="I1762" s="97"/>
      <c r="J1762"/>
      <c r="K1762"/>
    </row>
    <row r="1763" spans="1:11" s="21" customFormat="1">
      <c r="A1763"/>
      <c r="B1763"/>
      <c r="F1763"/>
      <c r="G1763"/>
      <c r="H1763"/>
      <c r="I1763" s="97"/>
      <c r="J1763"/>
      <c r="K1763"/>
    </row>
    <row r="1764" spans="1:11" s="21" customFormat="1">
      <c r="A1764"/>
      <c r="B1764"/>
      <c r="F1764"/>
      <c r="G1764"/>
      <c r="H1764"/>
      <c r="I1764" s="97"/>
      <c r="J1764"/>
      <c r="K1764"/>
    </row>
    <row r="1765" spans="1:11" s="21" customFormat="1">
      <c r="A1765"/>
      <c r="B1765"/>
      <c r="F1765"/>
      <c r="G1765"/>
      <c r="H1765"/>
      <c r="I1765" s="97"/>
      <c r="J1765"/>
      <c r="K1765"/>
    </row>
    <row r="1766" spans="1:11" s="21" customFormat="1">
      <c r="A1766"/>
      <c r="B1766"/>
      <c r="F1766"/>
      <c r="G1766"/>
      <c r="H1766"/>
      <c r="I1766" s="97"/>
      <c r="J1766"/>
      <c r="K1766"/>
    </row>
    <row r="1767" spans="1:11" s="21" customFormat="1">
      <c r="A1767"/>
      <c r="B1767"/>
      <c r="F1767"/>
      <c r="G1767"/>
      <c r="H1767"/>
      <c r="I1767" s="97"/>
      <c r="J1767"/>
      <c r="K1767"/>
    </row>
    <row r="1768" spans="1:11" s="21" customFormat="1">
      <c r="A1768"/>
      <c r="B1768"/>
      <c r="F1768"/>
      <c r="G1768"/>
      <c r="H1768"/>
      <c r="I1768" s="97"/>
      <c r="J1768"/>
      <c r="K1768"/>
    </row>
    <row r="1769" spans="1:11" s="21" customFormat="1">
      <c r="A1769"/>
      <c r="B1769"/>
      <c r="F1769"/>
      <c r="G1769"/>
      <c r="H1769"/>
      <c r="I1769" s="97"/>
      <c r="J1769"/>
      <c r="K1769"/>
    </row>
    <row r="1770" spans="1:11" s="21" customFormat="1">
      <c r="A1770"/>
      <c r="B1770"/>
      <c r="F1770"/>
      <c r="G1770"/>
      <c r="H1770"/>
      <c r="I1770" s="97"/>
      <c r="J1770"/>
      <c r="K1770"/>
    </row>
    <row r="1771" spans="1:11" s="21" customFormat="1">
      <c r="A1771"/>
      <c r="B1771"/>
      <c r="F1771"/>
      <c r="G1771"/>
      <c r="H1771"/>
      <c r="I1771" s="97"/>
      <c r="J1771"/>
      <c r="K1771"/>
    </row>
    <row r="1772" spans="1:11" s="21" customFormat="1">
      <c r="A1772"/>
      <c r="B1772"/>
      <c r="F1772"/>
      <c r="G1772"/>
      <c r="H1772"/>
      <c r="I1772" s="97"/>
      <c r="J1772"/>
      <c r="K1772"/>
    </row>
    <row r="1773" spans="1:11" s="21" customFormat="1">
      <c r="A1773"/>
      <c r="B1773"/>
      <c r="F1773"/>
      <c r="G1773"/>
      <c r="H1773"/>
      <c r="I1773" s="97"/>
      <c r="J1773"/>
      <c r="K1773"/>
    </row>
    <row r="1774" spans="1:11" s="21" customFormat="1">
      <c r="A1774"/>
      <c r="B1774"/>
      <c r="F1774"/>
      <c r="G1774"/>
      <c r="H1774"/>
      <c r="I1774" s="97"/>
      <c r="J1774"/>
      <c r="K1774"/>
    </row>
    <row r="1775" spans="1:11" s="21" customFormat="1">
      <c r="A1775"/>
      <c r="B1775"/>
      <c r="F1775"/>
      <c r="G1775"/>
      <c r="H1775"/>
      <c r="I1775" s="97"/>
      <c r="J1775"/>
      <c r="K1775"/>
    </row>
    <row r="1776" spans="1:11" s="21" customFormat="1">
      <c r="A1776"/>
      <c r="B1776"/>
      <c r="F1776"/>
      <c r="G1776"/>
      <c r="H1776"/>
      <c r="I1776" s="97"/>
      <c r="J1776"/>
      <c r="K1776"/>
    </row>
    <row r="1777" spans="1:11" s="21" customFormat="1">
      <c r="A1777"/>
      <c r="B1777"/>
      <c r="F1777"/>
      <c r="G1777"/>
      <c r="H1777"/>
      <c r="I1777" s="97"/>
      <c r="J1777"/>
      <c r="K1777"/>
    </row>
    <row r="1778" spans="1:11" s="21" customFormat="1">
      <c r="A1778"/>
      <c r="B1778"/>
      <c r="F1778"/>
      <c r="G1778"/>
      <c r="H1778"/>
      <c r="I1778" s="97"/>
      <c r="J1778"/>
      <c r="K1778"/>
    </row>
    <row r="1779" spans="1:11" s="21" customFormat="1">
      <c r="A1779"/>
      <c r="B1779"/>
      <c r="F1779"/>
      <c r="G1779"/>
      <c r="H1779"/>
      <c r="I1779" s="97"/>
      <c r="J1779"/>
      <c r="K1779"/>
    </row>
    <row r="1780" spans="1:11" s="21" customFormat="1">
      <c r="A1780"/>
      <c r="B1780"/>
      <c r="F1780"/>
      <c r="G1780"/>
      <c r="H1780"/>
      <c r="I1780" s="97"/>
      <c r="J1780"/>
      <c r="K1780"/>
    </row>
    <row r="1781" spans="1:11" s="21" customFormat="1">
      <c r="A1781"/>
      <c r="B1781"/>
      <c r="F1781"/>
      <c r="G1781"/>
      <c r="H1781"/>
      <c r="I1781" s="97"/>
      <c r="J1781"/>
      <c r="K1781"/>
    </row>
    <row r="1782" spans="1:11" s="21" customFormat="1">
      <c r="A1782"/>
      <c r="B1782"/>
      <c r="F1782"/>
      <c r="G1782"/>
      <c r="H1782"/>
      <c r="I1782" s="97"/>
      <c r="J1782"/>
      <c r="K1782"/>
    </row>
    <row r="1783" spans="1:11" s="21" customFormat="1">
      <c r="A1783"/>
      <c r="B1783"/>
      <c r="F1783"/>
      <c r="G1783"/>
      <c r="H1783"/>
      <c r="I1783" s="97"/>
      <c r="J1783"/>
      <c r="K1783"/>
    </row>
    <row r="1784" spans="1:11" s="21" customFormat="1">
      <c r="A1784"/>
      <c r="B1784"/>
      <c r="F1784"/>
      <c r="G1784"/>
      <c r="H1784"/>
      <c r="I1784" s="97"/>
      <c r="J1784"/>
      <c r="K1784"/>
    </row>
    <row r="1785" spans="1:11" s="21" customFormat="1">
      <c r="A1785"/>
      <c r="B1785"/>
      <c r="F1785"/>
      <c r="G1785"/>
      <c r="H1785"/>
      <c r="I1785" s="97"/>
      <c r="J1785"/>
      <c r="K1785"/>
    </row>
    <row r="1786" spans="1:11" s="21" customFormat="1">
      <c r="A1786"/>
      <c r="B1786"/>
      <c r="F1786"/>
      <c r="G1786"/>
      <c r="H1786"/>
      <c r="I1786" s="97"/>
      <c r="J1786"/>
      <c r="K1786"/>
    </row>
    <row r="1787" spans="1:11" s="21" customFormat="1">
      <c r="A1787"/>
      <c r="B1787"/>
      <c r="F1787"/>
      <c r="G1787"/>
      <c r="H1787"/>
      <c r="I1787" s="97"/>
      <c r="J1787"/>
      <c r="K1787"/>
    </row>
    <row r="1788" spans="1:11" s="21" customFormat="1">
      <c r="A1788"/>
      <c r="B1788"/>
      <c r="F1788"/>
      <c r="G1788"/>
      <c r="H1788"/>
      <c r="I1788" s="97"/>
      <c r="J1788"/>
      <c r="K1788"/>
    </row>
    <row r="1789" spans="1:11" s="21" customFormat="1">
      <c r="A1789"/>
      <c r="B1789"/>
      <c r="F1789"/>
      <c r="G1789"/>
      <c r="H1789"/>
      <c r="I1789" s="97"/>
      <c r="J1789"/>
      <c r="K1789"/>
    </row>
    <row r="1790" spans="1:11" s="21" customFormat="1">
      <c r="A1790"/>
      <c r="B1790"/>
      <c r="F1790"/>
      <c r="G1790"/>
      <c r="H1790"/>
      <c r="I1790" s="97"/>
      <c r="J1790"/>
      <c r="K1790"/>
    </row>
    <row r="1791" spans="1:11" s="21" customFormat="1">
      <c r="A1791"/>
      <c r="B1791"/>
      <c r="F1791"/>
      <c r="G1791"/>
      <c r="H1791"/>
      <c r="I1791" s="97"/>
      <c r="J1791"/>
      <c r="K1791"/>
    </row>
    <row r="1792" spans="1:11" s="21" customFormat="1">
      <c r="A1792"/>
      <c r="B1792"/>
      <c r="F1792"/>
      <c r="G1792"/>
      <c r="H1792"/>
      <c r="I1792" s="97"/>
      <c r="J1792"/>
      <c r="K1792"/>
    </row>
    <row r="1793" spans="1:11" s="21" customFormat="1">
      <c r="A1793"/>
      <c r="B1793"/>
      <c r="F1793"/>
      <c r="G1793"/>
      <c r="H1793"/>
      <c r="I1793" s="97"/>
      <c r="J1793"/>
      <c r="K1793"/>
    </row>
    <row r="1794" spans="1:11" s="21" customFormat="1">
      <c r="A1794"/>
      <c r="B1794"/>
      <c r="F1794"/>
      <c r="G1794"/>
      <c r="H1794"/>
      <c r="I1794" s="97"/>
      <c r="J1794"/>
      <c r="K1794"/>
    </row>
    <row r="1795" spans="1:11" s="21" customFormat="1">
      <c r="A1795"/>
      <c r="B1795"/>
      <c r="F1795"/>
      <c r="G1795"/>
      <c r="H1795"/>
      <c r="I1795" s="97"/>
      <c r="J1795"/>
      <c r="K1795"/>
    </row>
    <row r="1796" spans="1:11" s="21" customFormat="1">
      <c r="A1796"/>
      <c r="B1796"/>
      <c r="F1796"/>
      <c r="G1796"/>
      <c r="H1796"/>
      <c r="I1796" s="97"/>
      <c r="J1796"/>
      <c r="K1796"/>
    </row>
    <row r="1797" spans="1:11" s="21" customFormat="1">
      <c r="A1797"/>
      <c r="B1797"/>
      <c r="F1797"/>
      <c r="G1797"/>
      <c r="H1797"/>
      <c r="I1797" s="97"/>
      <c r="J1797"/>
      <c r="K1797"/>
    </row>
    <row r="1798" spans="1:11" s="21" customFormat="1">
      <c r="A1798"/>
      <c r="B1798"/>
      <c r="F1798"/>
      <c r="G1798"/>
      <c r="H1798"/>
      <c r="I1798" s="97"/>
      <c r="J1798"/>
      <c r="K1798"/>
    </row>
    <row r="1799" spans="1:11" s="21" customFormat="1">
      <c r="A1799"/>
      <c r="B1799"/>
      <c r="F1799"/>
      <c r="G1799"/>
      <c r="H1799"/>
      <c r="I1799" s="97"/>
      <c r="J1799"/>
      <c r="K1799"/>
    </row>
    <row r="1800" spans="1:11" s="21" customFormat="1">
      <c r="A1800"/>
      <c r="B1800"/>
      <c r="F1800"/>
      <c r="G1800"/>
      <c r="H1800"/>
      <c r="I1800" s="97"/>
      <c r="J1800"/>
      <c r="K1800"/>
    </row>
    <row r="1801" spans="1:11" s="21" customFormat="1">
      <c r="A1801"/>
      <c r="B1801"/>
      <c r="F1801"/>
      <c r="G1801"/>
      <c r="H1801"/>
      <c r="I1801" s="97"/>
      <c r="J1801"/>
      <c r="K1801"/>
    </row>
    <row r="1802" spans="1:11" s="21" customFormat="1">
      <c r="A1802"/>
      <c r="B1802"/>
      <c r="F1802"/>
      <c r="G1802"/>
      <c r="H1802"/>
      <c r="I1802" s="97"/>
      <c r="J1802"/>
      <c r="K1802"/>
    </row>
    <row r="1803" spans="1:11" s="21" customFormat="1">
      <c r="A1803"/>
      <c r="B1803"/>
      <c r="F1803"/>
      <c r="G1803"/>
      <c r="H1803"/>
      <c r="I1803" s="97"/>
      <c r="J1803"/>
      <c r="K1803"/>
    </row>
    <row r="1804" spans="1:11" s="21" customFormat="1">
      <c r="A1804"/>
      <c r="B1804"/>
      <c r="F1804"/>
      <c r="G1804"/>
      <c r="H1804"/>
      <c r="I1804" s="97"/>
      <c r="J1804"/>
      <c r="K1804"/>
    </row>
    <row r="1805" spans="1:11" s="21" customFormat="1">
      <c r="A1805"/>
      <c r="B1805"/>
      <c r="F1805"/>
      <c r="G1805"/>
      <c r="H1805"/>
      <c r="I1805" s="97"/>
      <c r="J1805"/>
      <c r="K1805"/>
    </row>
    <row r="1806" spans="1:11" s="21" customFormat="1">
      <c r="A1806"/>
      <c r="B1806"/>
      <c r="F1806"/>
      <c r="G1806"/>
      <c r="H1806"/>
      <c r="I1806" s="97"/>
      <c r="J1806"/>
      <c r="K1806"/>
    </row>
    <row r="1807" spans="1:11" s="21" customFormat="1">
      <c r="A1807"/>
      <c r="B1807"/>
      <c r="F1807"/>
      <c r="G1807"/>
      <c r="H1807"/>
      <c r="I1807" s="97"/>
      <c r="J1807"/>
      <c r="K1807"/>
    </row>
    <row r="1808" spans="1:11" s="21" customFormat="1">
      <c r="A1808"/>
      <c r="B1808"/>
      <c r="F1808"/>
      <c r="G1808"/>
      <c r="H1808"/>
      <c r="I1808" s="97"/>
      <c r="J1808"/>
      <c r="K1808"/>
    </row>
    <row r="1809" spans="1:11" s="21" customFormat="1">
      <c r="A1809"/>
      <c r="B1809"/>
      <c r="F1809"/>
      <c r="G1809"/>
      <c r="H1809"/>
      <c r="I1809" s="97"/>
      <c r="J1809"/>
      <c r="K1809"/>
    </row>
    <row r="1810" spans="1:11" s="21" customFormat="1">
      <c r="A1810"/>
      <c r="B1810"/>
      <c r="F1810"/>
      <c r="G1810"/>
      <c r="H1810"/>
      <c r="I1810" s="97"/>
      <c r="J1810"/>
      <c r="K1810"/>
    </row>
    <row r="1811" spans="1:11" s="21" customFormat="1">
      <c r="A1811"/>
      <c r="B1811"/>
      <c r="F1811"/>
      <c r="G1811"/>
      <c r="H1811"/>
      <c r="I1811" s="97"/>
      <c r="J1811"/>
      <c r="K1811"/>
    </row>
    <row r="1812" spans="1:11" s="21" customFormat="1">
      <c r="A1812"/>
      <c r="B1812"/>
      <c r="F1812"/>
      <c r="G1812"/>
      <c r="H1812"/>
      <c r="I1812" s="97"/>
      <c r="J1812"/>
      <c r="K1812"/>
    </row>
    <row r="1813" spans="1:11" s="21" customFormat="1">
      <c r="A1813"/>
      <c r="B1813"/>
      <c r="F1813"/>
      <c r="G1813"/>
      <c r="H1813"/>
      <c r="I1813" s="97"/>
      <c r="J1813"/>
      <c r="K1813"/>
    </row>
    <row r="1814" spans="1:11" s="21" customFormat="1">
      <c r="A1814"/>
      <c r="B1814"/>
      <c r="F1814"/>
      <c r="G1814"/>
      <c r="H1814"/>
      <c r="I1814" s="97"/>
      <c r="J1814"/>
      <c r="K1814"/>
    </row>
    <row r="1815" spans="1:11" s="21" customFormat="1">
      <c r="A1815"/>
      <c r="B1815"/>
      <c r="F1815"/>
      <c r="G1815"/>
      <c r="H1815"/>
      <c r="I1815" s="97"/>
      <c r="J1815"/>
      <c r="K1815"/>
    </row>
    <row r="1816" spans="1:11" s="21" customFormat="1">
      <c r="A1816"/>
      <c r="B1816"/>
      <c r="F1816"/>
      <c r="G1816"/>
      <c r="H1816"/>
      <c r="I1816" s="97"/>
      <c r="J1816"/>
      <c r="K1816"/>
    </row>
    <row r="1817" spans="1:11" s="21" customFormat="1">
      <c r="A1817"/>
      <c r="B1817"/>
      <c r="F1817"/>
      <c r="G1817"/>
      <c r="H1817"/>
      <c r="I1817" s="97"/>
      <c r="J1817"/>
      <c r="K1817"/>
    </row>
    <row r="1818" spans="1:11" s="21" customFormat="1">
      <c r="A1818"/>
      <c r="B1818"/>
      <c r="F1818"/>
      <c r="G1818"/>
      <c r="H1818"/>
      <c r="I1818" s="97"/>
      <c r="J1818"/>
      <c r="K1818"/>
    </row>
    <row r="1819" spans="1:11" s="21" customFormat="1">
      <c r="A1819"/>
      <c r="B1819"/>
      <c r="F1819"/>
      <c r="G1819"/>
      <c r="H1819"/>
      <c r="I1819" s="97"/>
      <c r="J1819"/>
      <c r="K1819"/>
    </row>
    <row r="1820" spans="1:11" s="21" customFormat="1">
      <c r="A1820"/>
      <c r="B1820"/>
      <c r="F1820"/>
      <c r="G1820"/>
      <c r="H1820"/>
      <c r="I1820" s="97"/>
      <c r="J1820"/>
      <c r="K1820"/>
    </row>
    <row r="1821" spans="1:11" s="21" customFormat="1">
      <c r="A1821"/>
      <c r="B1821"/>
      <c r="F1821"/>
      <c r="G1821"/>
      <c r="H1821"/>
      <c r="I1821" s="97"/>
      <c r="J1821"/>
      <c r="K1821"/>
    </row>
    <row r="1822" spans="1:11" s="21" customFormat="1">
      <c r="A1822"/>
      <c r="B1822"/>
      <c r="F1822"/>
      <c r="G1822"/>
      <c r="H1822"/>
      <c r="I1822" s="97"/>
      <c r="J1822"/>
      <c r="K1822"/>
    </row>
    <row r="1823" spans="1:11" s="21" customFormat="1">
      <c r="A1823"/>
      <c r="B1823"/>
      <c r="F1823"/>
      <c r="G1823"/>
      <c r="H1823"/>
      <c r="I1823" s="97"/>
      <c r="J1823"/>
      <c r="K1823"/>
    </row>
    <row r="1824" spans="1:11" s="21" customFormat="1">
      <c r="A1824"/>
      <c r="B1824"/>
      <c r="F1824"/>
      <c r="G1824"/>
      <c r="H1824"/>
      <c r="I1824" s="97"/>
      <c r="J1824"/>
      <c r="K1824"/>
    </row>
    <row r="1825" spans="1:11" s="21" customFormat="1">
      <c r="A1825"/>
      <c r="B1825"/>
      <c r="F1825"/>
      <c r="G1825"/>
      <c r="H1825"/>
      <c r="I1825" s="97"/>
      <c r="J1825"/>
      <c r="K1825"/>
    </row>
    <row r="1826" spans="1:11" s="21" customFormat="1">
      <c r="A1826"/>
      <c r="B1826"/>
      <c r="F1826"/>
      <c r="G1826"/>
      <c r="H1826"/>
      <c r="I1826" s="97"/>
      <c r="J1826"/>
      <c r="K1826"/>
    </row>
    <row r="1827" spans="1:11" s="21" customFormat="1">
      <c r="A1827"/>
      <c r="B1827"/>
      <c r="F1827"/>
      <c r="G1827"/>
      <c r="H1827"/>
      <c r="I1827" s="97"/>
      <c r="J1827"/>
      <c r="K1827"/>
    </row>
    <row r="1828" spans="1:11" s="21" customFormat="1">
      <c r="A1828"/>
      <c r="B1828"/>
      <c r="F1828"/>
      <c r="G1828"/>
      <c r="H1828"/>
      <c r="I1828" s="97"/>
      <c r="J1828"/>
      <c r="K1828"/>
    </row>
    <row r="1829" spans="1:11" s="21" customFormat="1">
      <c r="A1829"/>
      <c r="B1829"/>
      <c r="F1829"/>
      <c r="G1829"/>
      <c r="H1829"/>
      <c r="I1829" s="97"/>
      <c r="J1829"/>
      <c r="K1829"/>
    </row>
    <row r="1830" spans="1:11" s="21" customFormat="1">
      <c r="A1830"/>
      <c r="B1830"/>
      <c r="F1830"/>
      <c r="G1830"/>
      <c r="H1830"/>
      <c r="I1830" s="97"/>
      <c r="J1830"/>
      <c r="K1830"/>
    </row>
    <row r="1831" spans="1:11" s="21" customFormat="1">
      <c r="A1831"/>
      <c r="B1831"/>
      <c r="F1831"/>
      <c r="G1831"/>
      <c r="H1831"/>
      <c r="I1831" s="97"/>
      <c r="J1831"/>
      <c r="K1831"/>
    </row>
    <row r="1832" spans="1:11" s="21" customFormat="1">
      <c r="A1832"/>
      <c r="B1832"/>
      <c r="F1832"/>
      <c r="G1832"/>
      <c r="H1832"/>
      <c r="I1832" s="97"/>
      <c r="J1832"/>
      <c r="K1832"/>
    </row>
    <row r="1833" spans="1:11" s="21" customFormat="1">
      <c r="A1833"/>
      <c r="B1833"/>
      <c r="F1833"/>
      <c r="G1833"/>
      <c r="H1833"/>
      <c r="I1833" s="97"/>
      <c r="J1833"/>
      <c r="K1833"/>
    </row>
    <row r="1834" spans="1:11" s="21" customFormat="1">
      <c r="A1834"/>
      <c r="B1834"/>
      <c r="F1834"/>
      <c r="G1834"/>
      <c r="H1834"/>
      <c r="I1834" s="97"/>
      <c r="J1834"/>
      <c r="K1834"/>
    </row>
    <row r="1835" spans="1:11" s="21" customFormat="1">
      <c r="A1835"/>
      <c r="B1835"/>
      <c r="F1835"/>
      <c r="G1835"/>
      <c r="H1835"/>
      <c r="I1835" s="97"/>
      <c r="J1835"/>
      <c r="K1835"/>
    </row>
    <row r="1836" spans="1:11" s="21" customFormat="1">
      <c r="A1836"/>
      <c r="B1836"/>
      <c r="F1836"/>
      <c r="G1836"/>
      <c r="H1836"/>
      <c r="I1836" s="97"/>
      <c r="J1836"/>
      <c r="K1836"/>
    </row>
    <row r="1837" spans="1:11" s="21" customFormat="1">
      <c r="A1837"/>
      <c r="B1837"/>
      <c r="F1837"/>
      <c r="G1837"/>
      <c r="H1837"/>
      <c r="I1837" s="97"/>
      <c r="J1837"/>
      <c r="K1837"/>
    </row>
    <row r="1838" spans="1:11" s="21" customFormat="1">
      <c r="A1838"/>
      <c r="B1838"/>
      <c r="F1838"/>
      <c r="G1838"/>
      <c r="H1838"/>
      <c r="I1838" s="97"/>
      <c r="J1838"/>
      <c r="K1838"/>
    </row>
    <row r="1839" spans="1:11" s="21" customFormat="1">
      <c r="A1839"/>
      <c r="B1839"/>
      <c r="F1839"/>
      <c r="G1839"/>
      <c r="H1839"/>
      <c r="I1839" s="97"/>
      <c r="J1839"/>
      <c r="K1839"/>
    </row>
    <row r="1840" spans="1:11" s="21" customFormat="1">
      <c r="A1840"/>
      <c r="B1840"/>
      <c r="F1840"/>
      <c r="G1840"/>
      <c r="H1840"/>
      <c r="I1840" s="97"/>
      <c r="J1840"/>
      <c r="K1840"/>
    </row>
    <row r="1841" spans="1:11" s="21" customFormat="1">
      <c r="A1841"/>
      <c r="B1841"/>
      <c r="F1841"/>
      <c r="G1841"/>
      <c r="H1841"/>
      <c r="I1841" s="97"/>
      <c r="J1841"/>
      <c r="K1841"/>
    </row>
    <row r="1842" spans="1:11" s="21" customFormat="1">
      <c r="A1842"/>
      <c r="B1842"/>
      <c r="F1842"/>
      <c r="G1842"/>
      <c r="H1842"/>
      <c r="I1842" s="97"/>
      <c r="J1842"/>
      <c r="K1842"/>
    </row>
    <row r="1843" spans="1:11" s="21" customFormat="1">
      <c r="A1843"/>
      <c r="B1843"/>
      <c r="F1843"/>
      <c r="G1843"/>
      <c r="H1843"/>
      <c r="I1843" s="97"/>
      <c r="J1843"/>
      <c r="K1843"/>
    </row>
    <row r="1844" spans="1:11" s="21" customFormat="1">
      <c r="A1844"/>
      <c r="B1844"/>
      <c r="F1844"/>
      <c r="G1844"/>
      <c r="H1844"/>
      <c r="I1844" s="97"/>
      <c r="J1844"/>
      <c r="K1844"/>
    </row>
    <row r="1845" spans="1:11" s="21" customFormat="1">
      <c r="A1845"/>
      <c r="B1845"/>
      <c r="F1845"/>
      <c r="G1845"/>
      <c r="H1845"/>
      <c r="I1845" s="97"/>
      <c r="J1845"/>
      <c r="K1845"/>
    </row>
    <row r="1846" spans="1:11" s="21" customFormat="1">
      <c r="A1846"/>
      <c r="B1846"/>
      <c r="F1846"/>
      <c r="G1846"/>
      <c r="H1846"/>
      <c r="I1846" s="97"/>
      <c r="J1846"/>
      <c r="K1846"/>
    </row>
    <row r="1847" spans="1:11" s="21" customFormat="1">
      <c r="A1847"/>
      <c r="B1847"/>
      <c r="F1847"/>
      <c r="G1847"/>
      <c r="H1847"/>
      <c r="I1847" s="97"/>
      <c r="J1847"/>
      <c r="K1847"/>
    </row>
    <row r="1848" spans="1:11" s="21" customFormat="1">
      <c r="A1848"/>
      <c r="B1848"/>
      <c r="F1848"/>
      <c r="G1848"/>
      <c r="H1848"/>
      <c r="I1848" s="97"/>
      <c r="J1848"/>
      <c r="K1848"/>
    </row>
    <row r="1849" spans="1:11" s="21" customFormat="1">
      <c r="A1849"/>
      <c r="B1849"/>
      <c r="F1849"/>
      <c r="G1849"/>
      <c r="H1849"/>
      <c r="I1849" s="97"/>
      <c r="J1849"/>
      <c r="K1849"/>
    </row>
    <row r="1850" spans="1:11" s="21" customFormat="1">
      <c r="A1850"/>
      <c r="B1850"/>
      <c r="F1850"/>
      <c r="G1850"/>
      <c r="H1850"/>
      <c r="I1850" s="97"/>
      <c r="J1850"/>
      <c r="K1850"/>
    </row>
    <row r="1851" spans="1:11" s="21" customFormat="1">
      <c r="A1851"/>
      <c r="B1851"/>
      <c r="F1851"/>
      <c r="G1851"/>
      <c r="H1851"/>
      <c r="I1851" s="97"/>
      <c r="J1851"/>
      <c r="K1851"/>
    </row>
    <row r="1852" spans="1:11" s="21" customFormat="1">
      <c r="A1852"/>
      <c r="B1852"/>
      <c r="F1852"/>
      <c r="G1852"/>
      <c r="H1852"/>
      <c r="I1852" s="97"/>
      <c r="J1852"/>
      <c r="K1852"/>
    </row>
    <row r="1853" spans="1:11" s="21" customFormat="1">
      <c r="A1853"/>
      <c r="B1853"/>
      <c r="F1853"/>
      <c r="G1853"/>
      <c r="H1853"/>
      <c r="I1853" s="97"/>
      <c r="J1853"/>
      <c r="K1853"/>
    </row>
    <row r="1854" spans="1:11" s="21" customFormat="1">
      <c r="A1854"/>
      <c r="B1854"/>
      <c r="F1854"/>
      <c r="G1854"/>
      <c r="H1854"/>
      <c r="I1854" s="97"/>
      <c r="J1854"/>
      <c r="K1854"/>
    </row>
    <row r="1855" spans="1:11" s="21" customFormat="1">
      <c r="A1855"/>
      <c r="B1855"/>
      <c r="F1855"/>
      <c r="G1855"/>
      <c r="H1855"/>
      <c r="I1855" s="97"/>
      <c r="J1855"/>
      <c r="K1855"/>
    </row>
    <row r="1856" spans="1:11" s="21" customFormat="1">
      <c r="A1856"/>
      <c r="B1856"/>
      <c r="F1856"/>
      <c r="G1856"/>
      <c r="H1856"/>
      <c r="I1856" s="97"/>
      <c r="J1856"/>
      <c r="K1856"/>
    </row>
    <row r="1857" spans="1:11" s="21" customFormat="1">
      <c r="A1857"/>
      <c r="B1857"/>
      <c r="F1857"/>
      <c r="G1857"/>
      <c r="H1857"/>
      <c r="I1857" s="97"/>
      <c r="J1857"/>
      <c r="K1857"/>
    </row>
    <row r="1858" spans="1:11" s="21" customFormat="1">
      <c r="A1858"/>
      <c r="B1858"/>
      <c r="F1858"/>
      <c r="G1858"/>
      <c r="H1858"/>
      <c r="I1858" s="97"/>
      <c r="J1858"/>
      <c r="K1858"/>
    </row>
    <row r="1859" spans="1:11" s="21" customFormat="1">
      <c r="A1859"/>
      <c r="B1859"/>
      <c r="F1859"/>
      <c r="G1859"/>
      <c r="H1859"/>
      <c r="I1859" s="97"/>
      <c r="J1859"/>
      <c r="K1859"/>
    </row>
    <row r="1860" spans="1:11" s="21" customFormat="1">
      <c r="A1860"/>
      <c r="B1860"/>
      <c r="F1860"/>
      <c r="G1860"/>
      <c r="H1860"/>
      <c r="I1860" s="97"/>
      <c r="J1860"/>
      <c r="K1860"/>
    </row>
    <row r="1861" spans="1:11" s="21" customFormat="1">
      <c r="A1861"/>
      <c r="B1861"/>
      <c r="F1861"/>
      <c r="G1861"/>
      <c r="H1861"/>
      <c r="I1861" s="97"/>
      <c r="J1861"/>
      <c r="K1861"/>
    </row>
    <row r="1862" spans="1:11" s="21" customFormat="1">
      <c r="A1862"/>
      <c r="B1862"/>
      <c r="F1862"/>
      <c r="G1862"/>
      <c r="H1862"/>
      <c r="I1862" s="97"/>
      <c r="J1862"/>
      <c r="K1862"/>
    </row>
    <row r="1863" spans="1:11" s="21" customFormat="1">
      <c r="A1863"/>
      <c r="B1863"/>
      <c r="F1863"/>
      <c r="G1863"/>
      <c r="H1863"/>
      <c r="I1863" s="97"/>
      <c r="J1863"/>
      <c r="K1863"/>
    </row>
    <row r="1864" spans="1:11" s="21" customFormat="1">
      <c r="A1864"/>
      <c r="B1864"/>
      <c r="F1864"/>
      <c r="G1864"/>
      <c r="H1864"/>
      <c r="I1864" s="97"/>
      <c r="J1864"/>
      <c r="K1864"/>
    </row>
    <row r="1865" spans="1:11" s="21" customFormat="1">
      <c r="A1865"/>
      <c r="B1865"/>
      <c r="F1865"/>
      <c r="G1865"/>
      <c r="H1865"/>
      <c r="I1865" s="97"/>
      <c r="J1865"/>
      <c r="K1865"/>
    </row>
    <row r="1866" spans="1:11" s="21" customFormat="1">
      <c r="A1866"/>
      <c r="B1866"/>
      <c r="F1866"/>
      <c r="G1866"/>
      <c r="H1866"/>
      <c r="I1866" s="97"/>
      <c r="J1866"/>
      <c r="K1866"/>
    </row>
    <row r="1867" spans="1:11" s="21" customFormat="1">
      <c r="A1867"/>
      <c r="B1867"/>
      <c r="F1867"/>
      <c r="G1867"/>
      <c r="H1867"/>
      <c r="I1867" s="97"/>
      <c r="J1867"/>
      <c r="K1867"/>
    </row>
    <row r="1868" spans="1:11" s="21" customFormat="1">
      <c r="A1868"/>
      <c r="B1868"/>
      <c r="F1868"/>
      <c r="G1868"/>
      <c r="H1868"/>
      <c r="I1868" s="97"/>
      <c r="J1868"/>
      <c r="K1868"/>
    </row>
    <row r="1869" spans="1:11" s="21" customFormat="1">
      <c r="A1869"/>
      <c r="B1869"/>
      <c r="F1869"/>
      <c r="G1869"/>
      <c r="H1869"/>
      <c r="I1869" s="97"/>
      <c r="J1869"/>
      <c r="K1869"/>
    </row>
    <row r="1870" spans="1:11" s="21" customFormat="1">
      <c r="A1870"/>
      <c r="B1870"/>
      <c r="F1870"/>
      <c r="G1870"/>
      <c r="H1870"/>
      <c r="I1870" s="97"/>
      <c r="J1870"/>
      <c r="K1870"/>
    </row>
    <row r="1871" spans="1:11" s="21" customFormat="1">
      <c r="A1871"/>
      <c r="B1871"/>
      <c r="F1871"/>
      <c r="G1871"/>
      <c r="H1871"/>
      <c r="I1871" s="97"/>
      <c r="J1871"/>
      <c r="K1871"/>
    </row>
    <row r="1872" spans="1:11" s="21" customFormat="1">
      <c r="A1872"/>
      <c r="B1872"/>
      <c r="F1872"/>
      <c r="G1872"/>
      <c r="H1872"/>
      <c r="I1872" s="97"/>
      <c r="J1872"/>
      <c r="K1872"/>
    </row>
    <row r="1873" spans="1:11" s="21" customFormat="1">
      <c r="A1873"/>
      <c r="B1873"/>
      <c r="F1873"/>
      <c r="G1873"/>
      <c r="H1873"/>
      <c r="I1873" s="97"/>
      <c r="J1873"/>
      <c r="K1873"/>
    </row>
    <row r="1874" spans="1:11" s="21" customFormat="1">
      <c r="A1874"/>
      <c r="B1874"/>
      <c r="F1874"/>
      <c r="G1874"/>
      <c r="H1874"/>
      <c r="I1874" s="97"/>
      <c r="J1874"/>
      <c r="K1874"/>
    </row>
    <row r="1875" spans="1:11" s="21" customFormat="1">
      <c r="A1875"/>
      <c r="B1875"/>
      <c r="F1875"/>
      <c r="G1875"/>
      <c r="H1875"/>
      <c r="I1875" s="97"/>
      <c r="J1875"/>
      <c r="K1875"/>
    </row>
    <row r="1876" spans="1:11" s="21" customFormat="1">
      <c r="A1876"/>
      <c r="B1876"/>
      <c r="F1876"/>
      <c r="G1876"/>
      <c r="H1876"/>
      <c r="I1876" s="97"/>
      <c r="J1876"/>
      <c r="K1876"/>
    </row>
    <row r="1877" spans="1:11" s="21" customFormat="1">
      <c r="A1877"/>
      <c r="B1877"/>
      <c r="F1877"/>
      <c r="G1877"/>
      <c r="H1877"/>
      <c r="I1877" s="97"/>
      <c r="J1877"/>
      <c r="K1877"/>
    </row>
    <row r="1878" spans="1:11" s="21" customFormat="1">
      <c r="A1878"/>
      <c r="B1878"/>
      <c r="F1878"/>
      <c r="G1878"/>
      <c r="H1878"/>
      <c r="I1878" s="97"/>
      <c r="J1878"/>
      <c r="K1878"/>
    </row>
    <row r="1879" spans="1:11" s="21" customFormat="1">
      <c r="A1879"/>
      <c r="B1879"/>
      <c r="F1879"/>
      <c r="G1879"/>
      <c r="H1879"/>
      <c r="I1879" s="97"/>
      <c r="J1879"/>
      <c r="K1879"/>
    </row>
    <row r="1880" spans="1:11" s="21" customFormat="1">
      <c r="A1880"/>
      <c r="B1880"/>
      <c r="F1880"/>
      <c r="G1880"/>
      <c r="H1880"/>
      <c r="I1880" s="97"/>
      <c r="J1880"/>
      <c r="K1880"/>
    </row>
    <row r="1881" spans="1:11" s="21" customFormat="1">
      <c r="A1881"/>
      <c r="B1881"/>
      <c r="F1881"/>
      <c r="G1881"/>
      <c r="H1881"/>
      <c r="I1881" s="97"/>
      <c r="J1881"/>
      <c r="K1881"/>
    </row>
    <row r="1882" spans="1:11" s="21" customFormat="1">
      <c r="A1882"/>
      <c r="B1882"/>
      <c r="F1882"/>
      <c r="G1882"/>
      <c r="H1882"/>
      <c r="I1882" s="97"/>
      <c r="J1882"/>
      <c r="K1882"/>
    </row>
    <row r="1883" spans="1:11" s="21" customFormat="1">
      <c r="A1883"/>
      <c r="B1883"/>
      <c r="F1883"/>
      <c r="G1883"/>
      <c r="H1883"/>
      <c r="I1883" s="97"/>
      <c r="J1883"/>
      <c r="K1883"/>
    </row>
    <row r="1884" spans="1:11" s="21" customFormat="1">
      <c r="A1884"/>
      <c r="B1884"/>
      <c r="F1884"/>
      <c r="G1884"/>
      <c r="H1884"/>
      <c r="I1884" s="97"/>
      <c r="J1884"/>
      <c r="K1884"/>
    </row>
    <row r="1885" spans="1:11" s="21" customFormat="1">
      <c r="A1885"/>
      <c r="B1885"/>
      <c r="F1885"/>
      <c r="G1885"/>
      <c r="H1885"/>
      <c r="I1885" s="97"/>
      <c r="J1885"/>
      <c r="K1885"/>
    </row>
    <row r="1886" spans="1:11" s="21" customFormat="1">
      <c r="A1886"/>
      <c r="B1886"/>
      <c r="F1886"/>
      <c r="G1886"/>
      <c r="H1886"/>
      <c r="I1886" s="97"/>
      <c r="J1886"/>
      <c r="K1886"/>
    </row>
    <row r="1887" spans="1:11" s="21" customFormat="1">
      <c r="A1887"/>
      <c r="B1887"/>
      <c r="F1887"/>
      <c r="G1887"/>
      <c r="H1887"/>
      <c r="I1887" s="97"/>
      <c r="J1887"/>
      <c r="K1887"/>
    </row>
    <row r="1888" spans="1:11" s="21" customFormat="1">
      <c r="A1888"/>
      <c r="B1888"/>
      <c r="F1888"/>
      <c r="G1888"/>
      <c r="H1888"/>
      <c r="I1888" s="97"/>
      <c r="J1888"/>
      <c r="K1888"/>
    </row>
    <row r="1889" spans="1:11" s="21" customFormat="1">
      <c r="A1889"/>
      <c r="B1889"/>
      <c r="F1889"/>
      <c r="G1889"/>
      <c r="H1889"/>
      <c r="I1889" s="97"/>
      <c r="J1889"/>
      <c r="K1889"/>
    </row>
    <row r="1890" spans="1:11" s="21" customFormat="1">
      <c r="A1890"/>
      <c r="B1890"/>
      <c r="F1890"/>
      <c r="G1890"/>
      <c r="H1890"/>
      <c r="I1890" s="97"/>
      <c r="J1890"/>
      <c r="K1890"/>
    </row>
    <row r="1891" spans="1:11" s="21" customFormat="1">
      <c r="A1891"/>
      <c r="B1891"/>
      <c r="F1891"/>
      <c r="G1891"/>
      <c r="H1891"/>
      <c r="I1891" s="97"/>
      <c r="J1891"/>
      <c r="K1891"/>
    </row>
    <row r="1892" spans="1:11" s="21" customFormat="1">
      <c r="A1892"/>
      <c r="B1892"/>
      <c r="F1892"/>
      <c r="G1892"/>
      <c r="H1892"/>
      <c r="I1892" s="97"/>
      <c r="J1892"/>
      <c r="K1892"/>
    </row>
    <row r="1893" spans="1:11" s="21" customFormat="1">
      <c r="A1893"/>
      <c r="B1893"/>
      <c r="F1893"/>
      <c r="G1893"/>
      <c r="H1893"/>
      <c r="I1893" s="97"/>
      <c r="J1893"/>
      <c r="K1893"/>
    </row>
    <row r="1894" spans="1:11" s="21" customFormat="1">
      <c r="A1894"/>
      <c r="B1894"/>
      <c r="F1894"/>
      <c r="G1894"/>
      <c r="H1894"/>
      <c r="I1894" s="97"/>
      <c r="J1894"/>
      <c r="K1894"/>
    </row>
    <row r="1895" spans="1:11" s="21" customFormat="1">
      <c r="A1895"/>
      <c r="B1895"/>
      <c r="F1895"/>
      <c r="G1895"/>
      <c r="H1895"/>
      <c r="I1895" s="97"/>
      <c r="J1895"/>
      <c r="K1895"/>
    </row>
    <row r="1896" spans="1:11" s="21" customFormat="1">
      <c r="A1896"/>
      <c r="B1896"/>
      <c r="F1896"/>
      <c r="G1896"/>
      <c r="H1896"/>
      <c r="I1896" s="97"/>
      <c r="J1896"/>
      <c r="K1896"/>
    </row>
    <row r="1897" spans="1:11" s="21" customFormat="1">
      <c r="A1897"/>
      <c r="B1897"/>
      <c r="F1897"/>
      <c r="G1897"/>
      <c r="H1897"/>
      <c r="I1897" s="97"/>
      <c r="J1897"/>
      <c r="K1897"/>
    </row>
    <row r="1898" spans="1:11" s="21" customFormat="1">
      <c r="A1898"/>
      <c r="B1898"/>
      <c r="F1898"/>
      <c r="G1898"/>
      <c r="H1898"/>
      <c r="I1898" s="97"/>
      <c r="J1898"/>
      <c r="K1898"/>
    </row>
    <row r="1899" spans="1:11" s="21" customFormat="1">
      <c r="A1899"/>
      <c r="B1899"/>
      <c r="F1899"/>
      <c r="G1899"/>
      <c r="H1899"/>
      <c r="I1899" s="97"/>
      <c r="J1899"/>
      <c r="K1899"/>
    </row>
    <row r="1900" spans="1:11" s="21" customFormat="1">
      <c r="A1900"/>
      <c r="B1900"/>
      <c r="F1900"/>
      <c r="G1900"/>
      <c r="H1900"/>
      <c r="I1900" s="97"/>
      <c r="J1900"/>
      <c r="K1900"/>
    </row>
    <row r="1901" spans="1:11" s="21" customFormat="1">
      <c r="A1901"/>
      <c r="B1901"/>
      <c r="F1901"/>
      <c r="G1901"/>
      <c r="H1901"/>
      <c r="I1901" s="97"/>
      <c r="J1901"/>
      <c r="K1901"/>
    </row>
    <row r="1902" spans="1:11" s="21" customFormat="1">
      <c r="A1902"/>
      <c r="B1902"/>
      <c r="F1902"/>
      <c r="G1902"/>
      <c r="H1902"/>
      <c r="I1902" s="97"/>
      <c r="J1902"/>
      <c r="K1902"/>
    </row>
    <row r="1903" spans="1:11" s="21" customFormat="1">
      <c r="A1903"/>
      <c r="B1903"/>
      <c r="F1903"/>
      <c r="G1903"/>
      <c r="H1903"/>
      <c r="I1903" s="97"/>
      <c r="J1903"/>
      <c r="K1903"/>
    </row>
    <row r="1904" spans="1:11" s="21" customFormat="1">
      <c r="A1904"/>
      <c r="B1904"/>
      <c r="F1904"/>
      <c r="G1904"/>
      <c r="H1904"/>
      <c r="I1904" s="97"/>
      <c r="J1904"/>
      <c r="K1904"/>
    </row>
    <row r="1905" spans="1:11" s="21" customFormat="1">
      <c r="A1905"/>
      <c r="B1905"/>
      <c r="F1905"/>
      <c r="G1905"/>
      <c r="H1905"/>
      <c r="I1905" s="97"/>
      <c r="J1905"/>
      <c r="K1905"/>
    </row>
    <row r="1906" spans="1:11" s="21" customFormat="1">
      <c r="A1906"/>
      <c r="B1906"/>
      <c r="F1906"/>
      <c r="G1906"/>
      <c r="H1906"/>
      <c r="I1906" s="97"/>
      <c r="J1906"/>
      <c r="K1906"/>
    </row>
    <row r="1907" spans="1:11" s="21" customFormat="1">
      <c r="A1907"/>
      <c r="B1907"/>
      <c r="F1907"/>
      <c r="G1907"/>
      <c r="H1907"/>
      <c r="I1907" s="97"/>
      <c r="J1907"/>
      <c r="K1907"/>
    </row>
    <row r="1908" spans="1:11" s="21" customFormat="1">
      <c r="A1908"/>
      <c r="B1908"/>
      <c r="F1908"/>
      <c r="G1908"/>
      <c r="H1908"/>
      <c r="I1908" s="97"/>
      <c r="J1908"/>
      <c r="K1908"/>
    </row>
    <row r="1909" spans="1:11" s="21" customFormat="1">
      <c r="A1909"/>
      <c r="B1909"/>
      <c r="F1909"/>
      <c r="G1909"/>
      <c r="H1909"/>
      <c r="I1909" s="97"/>
      <c r="J1909"/>
      <c r="K1909"/>
    </row>
    <row r="1910" spans="1:11" s="21" customFormat="1">
      <c r="A1910"/>
      <c r="B1910"/>
      <c r="F1910"/>
      <c r="G1910"/>
      <c r="H1910"/>
      <c r="I1910" s="97"/>
      <c r="J1910"/>
      <c r="K1910"/>
    </row>
    <row r="1911" spans="1:11" s="21" customFormat="1">
      <c r="A1911"/>
      <c r="B1911"/>
      <c r="F1911"/>
      <c r="G1911"/>
      <c r="H1911"/>
      <c r="I1911" s="97"/>
      <c r="J1911"/>
      <c r="K1911"/>
    </row>
    <row r="1912" spans="1:11" s="21" customFormat="1">
      <c r="A1912"/>
      <c r="B1912"/>
      <c r="F1912"/>
      <c r="G1912"/>
      <c r="H1912"/>
      <c r="I1912" s="97"/>
      <c r="J1912"/>
      <c r="K1912"/>
    </row>
    <row r="1913" spans="1:11" s="21" customFormat="1">
      <c r="A1913"/>
      <c r="B1913"/>
      <c r="F1913"/>
      <c r="G1913"/>
      <c r="H1913"/>
      <c r="I1913" s="97"/>
      <c r="J1913"/>
      <c r="K1913"/>
    </row>
    <row r="1914" spans="1:11" s="21" customFormat="1">
      <c r="A1914"/>
      <c r="B1914"/>
      <c r="F1914"/>
      <c r="G1914"/>
      <c r="H1914"/>
      <c r="I1914" s="97"/>
      <c r="J1914"/>
      <c r="K1914"/>
    </row>
    <row r="1915" spans="1:11" s="21" customFormat="1">
      <c r="A1915"/>
      <c r="B1915"/>
      <c r="F1915"/>
      <c r="G1915"/>
      <c r="H1915"/>
      <c r="I1915" s="97"/>
      <c r="J1915"/>
      <c r="K1915"/>
    </row>
    <row r="1916" spans="1:11" s="21" customFormat="1">
      <c r="A1916"/>
      <c r="B1916"/>
      <c r="F1916"/>
      <c r="G1916"/>
      <c r="H1916"/>
      <c r="I1916" s="97"/>
      <c r="J1916"/>
      <c r="K1916"/>
    </row>
    <row r="1917" spans="1:11" s="21" customFormat="1">
      <c r="A1917"/>
      <c r="B1917"/>
      <c r="F1917"/>
      <c r="G1917"/>
      <c r="H1917"/>
      <c r="I1917" s="97"/>
      <c r="J1917"/>
      <c r="K1917"/>
    </row>
    <row r="1918" spans="1:11" s="21" customFormat="1">
      <c r="A1918"/>
      <c r="B1918"/>
      <c r="F1918"/>
      <c r="G1918"/>
      <c r="H1918"/>
      <c r="I1918" s="97"/>
      <c r="J1918"/>
      <c r="K1918"/>
    </row>
    <row r="1919" spans="1:11" s="21" customFormat="1">
      <c r="A1919"/>
      <c r="B1919"/>
      <c r="F1919"/>
      <c r="G1919"/>
      <c r="H1919"/>
      <c r="I1919" s="97"/>
      <c r="J1919"/>
      <c r="K1919"/>
    </row>
    <row r="1920" spans="1:11" s="21" customFormat="1">
      <c r="A1920"/>
      <c r="B1920"/>
      <c r="F1920"/>
      <c r="G1920"/>
      <c r="H1920"/>
      <c r="I1920" s="97"/>
      <c r="J1920"/>
      <c r="K1920"/>
    </row>
    <row r="1921" spans="1:11" s="21" customFormat="1">
      <c r="A1921"/>
      <c r="B1921"/>
      <c r="F1921"/>
      <c r="G1921"/>
      <c r="H1921"/>
      <c r="I1921" s="97"/>
      <c r="J1921"/>
      <c r="K1921"/>
    </row>
    <row r="1922" spans="1:11" s="21" customFormat="1">
      <c r="A1922"/>
      <c r="B1922"/>
      <c r="F1922"/>
      <c r="G1922"/>
      <c r="H1922"/>
      <c r="I1922" s="97"/>
      <c r="J1922"/>
      <c r="K1922"/>
    </row>
    <row r="1923" spans="1:11" s="21" customFormat="1">
      <c r="A1923"/>
      <c r="B1923"/>
      <c r="F1923"/>
      <c r="G1923"/>
      <c r="H1923"/>
      <c r="I1923" s="97"/>
      <c r="J1923"/>
      <c r="K1923"/>
    </row>
    <row r="1924" spans="1:11" s="21" customFormat="1">
      <c r="A1924"/>
      <c r="B1924"/>
      <c r="F1924"/>
      <c r="G1924"/>
      <c r="H1924"/>
      <c r="I1924" s="97"/>
      <c r="J1924"/>
      <c r="K1924"/>
    </row>
    <row r="1925" spans="1:11" s="21" customFormat="1">
      <c r="A1925"/>
      <c r="B1925"/>
      <c r="F1925"/>
      <c r="G1925"/>
      <c r="H1925"/>
      <c r="I1925" s="97"/>
      <c r="J1925"/>
      <c r="K1925"/>
    </row>
    <row r="1926" spans="1:11" s="21" customFormat="1">
      <c r="A1926"/>
      <c r="B1926"/>
      <c r="F1926"/>
      <c r="G1926"/>
      <c r="H1926"/>
      <c r="I1926" s="97"/>
      <c r="J1926"/>
      <c r="K1926"/>
    </row>
    <row r="1927" spans="1:11" s="21" customFormat="1">
      <c r="A1927"/>
      <c r="B1927"/>
      <c r="F1927"/>
      <c r="G1927"/>
      <c r="H1927"/>
      <c r="I1927" s="97"/>
      <c r="J1927"/>
      <c r="K1927"/>
    </row>
    <row r="1928" spans="1:11" s="21" customFormat="1">
      <c r="A1928"/>
      <c r="B1928"/>
      <c r="F1928"/>
      <c r="G1928"/>
      <c r="H1928"/>
      <c r="I1928" s="97"/>
      <c r="J1928"/>
      <c r="K1928"/>
    </row>
    <row r="1929" spans="1:11" s="21" customFormat="1">
      <c r="A1929"/>
      <c r="B1929"/>
      <c r="F1929"/>
      <c r="G1929"/>
      <c r="H1929"/>
      <c r="I1929" s="97"/>
      <c r="J1929"/>
      <c r="K1929"/>
    </row>
    <row r="1930" spans="1:11" s="21" customFormat="1">
      <c r="A1930"/>
      <c r="B1930"/>
      <c r="F1930"/>
      <c r="G1930"/>
      <c r="H1930"/>
      <c r="I1930" s="97"/>
      <c r="J1930"/>
      <c r="K1930"/>
    </row>
    <row r="1931" spans="1:11" s="21" customFormat="1">
      <c r="A1931"/>
      <c r="B1931"/>
      <c r="F1931"/>
      <c r="G1931"/>
      <c r="H1931"/>
      <c r="I1931" s="97"/>
      <c r="J1931"/>
      <c r="K1931"/>
    </row>
    <row r="1932" spans="1:11" s="21" customFormat="1">
      <c r="A1932"/>
      <c r="B1932"/>
      <c r="F1932"/>
      <c r="G1932"/>
      <c r="H1932"/>
      <c r="I1932" s="97"/>
      <c r="J1932"/>
      <c r="K1932"/>
    </row>
    <row r="1933" spans="1:11" s="21" customFormat="1">
      <c r="A1933"/>
      <c r="B1933"/>
      <c r="F1933"/>
      <c r="G1933"/>
      <c r="H1933"/>
      <c r="I1933" s="97"/>
      <c r="J1933"/>
      <c r="K1933"/>
    </row>
    <row r="1934" spans="1:11" s="21" customFormat="1">
      <c r="A1934"/>
      <c r="B1934"/>
      <c r="F1934"/>
      <c r="G1934"/>
      <c r="H1934"/>
      <c r="I1934" s="97"/>
      <c r="J1934"/>
      <c r="K1934"/>
    </row>
    <row r="1935" spans="1:11" s="21" customFormat="1">
      <c r="A1935"/>
      <c r="B1935"/>
      <c r="F1935"/>
      <c r="G1935"/>
      <c r="H1935"/>
      <c r="I1935" s="97"/>
      <c r="J1935"/>
      <c r="K1935"/>
    </row>
    <row r="1936" spans="1:11" s="21" customFormat="1">
      <c r="A1936"/>
      <c r="B1936"/>
      <c r="F1936"/>
      <c r="G1936"/>
      <c r="H1936"/>
      <c r="I1936" s="97"/>
      <c r="J1936"/>
      <c r="K1936"/>
    </row>
    <row r="1937" spans="1:11" s="21" customFormat="1">
      <c r="A1937"/>
      <c r="B1937"/>
      <c r="F1937"/>
      <c r="G1937"/>
      <c r="H1937"/>
      <c r="I1937" s="97"/>
      <c r="J1937"/>
      <c r="K1937"/>
    </row>
    <row r="1938" spans="1:11" s="21" customFormat="1">
      <c r="A1938"/>
      <c r="B1938"/>
      <c r="F1938"/>
      <c r="G1938"/>
      <c r="H1938"/>
      <c r="I1938" s="97"/>
      <c r="J1938"/>
      <c r="K1938"/>
    </row>
    <row r="1939" spans="1:11" s="21" customFormat="1">
      <c r="A1939"/>
      <c r="B1939"/>
      <c r="F1939"/>
      <c r="G1939"/>
      <c r="H1939"/>
      <c r="I1939" s="97"/>
      <c r="J1939"/>
      <c r="K1939"/>
    </row>
    <row r="1940" spans="1:11" s="21" customFormat="1">
      <c r="A1940"/>
      <c r="B1940"/>
      <c r="F1940"/>
      <c r="G1940"/>
      <c r="H1940"/>
      <c r="I1940" s="97"/>
      <c r="J1940"/>
      <c r="K1940"/>
    </row>
    <row r="1941" spans="1:11" s="21" customFormat="1">
      <c r="A1941"/>
      <c r="B1941"/>
      <c r="F1941"/>
      <c r="G1941"/>
      <c r="H1941"/>
      <c r="I1941" s="97"/>
      <c r="J1941"/>
      <c r="K1941"/>
    </row>
    <row r="1942" spans="1:11" s="21" customFormat="1">
      <c r="A1942"/>
      <c r="B1942"/>
      <c r="F1942"/>
      <c r="G1942"/>
      <c r="H1942"/>
      <c r="I1942" s="97"/>
      <c r="J1942"/>
      <c r="K1942"/>
    </row>
    <row r="1943" spans="1:11" s="21" customFormat="1">
      <c r="A1943"/>
      <c r="B1943"/>
      <c r="F1943"/>
      <c r="G1943"/>
      <c r="H1943"/>
      <c r="I1943" s="97"/>
      <c r="J1943"/>
      <c r="K1943"/>
    </row>
    <row r="1944" spans="1:11" s="21" customFormat="1">
      <c r="A1944"/>
      <c r="B1944"/>
      <c r="F1944"/>
      <c r="G1944"/>
      <c r="H1944"/>
      <c r="I1944" s="97"/>
      <c r="J1944"/>
      <c r="K1944"/>
    </row>
    <row r="1945" spans="1:11" s="21" customFormat="1">
      <c r="A1945"/>
      <c r="B1945"/>
      <c r="F1945"/>
      <c r="G1945"/>
      <c r="H1945"/>
      <c r="I1945" s="97"/>
      <c r="J1945"/>
      <c r="K1945"/>
    </row>
    <row r="1946" spans="1:11" s="21" customFormat="1">
      <c r="A1946"/>
      <c r="B1946"/>
      <c r="F1946"/>
      <c r="G1946"/>
      <c r="H1946"/>
      <c r="I1946" s="97"/>
      <c r="J1946"/>
      <c r="K1946"/>
    </row>
    <row r="1947" spans="1:11" s="21" customFormat="1">
      <c r="A1947"/>
      <c r="B1947"/>
      <c r="F1947"/>
      <c r="G1947"/>
      <c r="H1947"/>
      <c r="I1947" s="97"/>
      <c r="J1947"/>
      <c r="K1947"/>
    </row>
    <row r="1948" spans="1:11" s="21" customFormat="1">
      <c r="A1948"/>
      <c r="B1948"/>
      <c r="F1948"/>
      <c r="G1948"/>
      <c r="H1948"/>
      <c r="I1948" s="97"/>
      <c r="J1948"/>
      <c r="K1948"/>
    </row>
    <row r="1949" spans="1:11" s="21" customFormat="1">
      <c r="A1949"/>
      <c r="B1949"/>
      <c r="F1949"/>
      <c r="G1949"/>
      <c r="H1949"/>
      <c r="I1949" s="97"/>
      <c r="J1949"/>
      <c r="K1949"/>
    </row>
    <row r="1950" spans="1:11" s="21" customFormat="1">
      <c r="A1950"/>
      <c r="B1950"/>
      <c r="F1950"/>
      <c r="G1950"/>
      <c r="H1950"/>
      <c r="I1950" s="97"/>
      <c r="J1950"/>
      <c r="K1950"/>
    </row>
    <row r="1951" spans="1:11" s="21" customFormat="1">
      <c r="A1951"/>
      <c r="B1951"/>
      <c r="F1951"/>
      <c r="G1951"/>
      <c r="H1951"/>
      <c r="I1951" s="97"/>
      <c r="J1951"/>
      <c r="K1951"/>
    </row>
    <row r="1952" spans="1:11" s="21" customFormat="1">
      <c r="A1952"/>
      <c r="B1952"/>
      <c r="F1952"/>
      <c r="G1952"/>
      <c r="H1952"/>
      <c r="I1952" s="97"/>
      <c r="J1952"/>
      <c r="K1952"/>
    </row>
    <row r="1953" spans="1:11" s="21" customFormat="1">
      <c r="A1953"/>
      <c r="B1953"/>
      <c r="F1953"/>
      <c r="G1953"/>
      <c r="H1953"/>
      <c r="I1953" s="97"/>
      <c r="J1953"/>
      <c r="K1953"/>
    </row>
    <row r="1954" spans="1:11" s="21" customFormat="1">
      <c r="A1954"/>
      <c r="B1954"/>
      <c r="F1954"/>
      <c r="G1954"/>
      <c r="H1954"/>
      <c r="I1954" s="97"/>
      <c r="J1954"/>
      <c r="K1954"/>
    </row>
    <row r="1955" spans="1:11" s="21" customFormat="1">
      <c r="A1955"/>
      <c r="B1955"/>
      <c r="F1955"/>
      <c r="G1955"/>
      <c r="H1955"/>
      <c r="I1955" s="97"/>
      <c r="J1955"/>
      <c r="K1955"/>
    </row>
    <row r="1956" spans="1:11" s="21" customFormat="1">
      <c r="A1956"/>
      <c r="B1956"/>
      <c r="F1956"/>
      <c r="G1956"/>
      <c r="H1956"/>
      <c r="I1956" s="97"/>
      <c r="J1956"/>
      <c r="K1956"/>
    </row>
    <row r="1957" spans="1:11" s="21" customFormat="1">
      <c r="A1957"/>
      <c r="B1957"/>
      <c r="F1957"/>
      <c r="G1957"/>
      <c r="H1957"/>
      <c r="I1957" s="97"/>
      <c r="J1957"/>
      <c r="K1957"/>
    </row>
    <row r="1958" spans="1:11" s="21" customFormat="1">
      <c r="A1958"/>
      <c r="B1958"/>
      <c r="F1958"/>
      <c r="G1958"/>
      <c r="H1958"/>
      <c r="I1958" s="97"/>
      <c r="J1958"/>
      <c r="K1958"/>
    </row>
    <row r="1959" spans="1:11" s="21" customFormat="1">
      <c r="A1959"/>
      <c r="B1959"/>
      <c r="F1959"/>
      <c r="G1959"/>
      <c r="H1959"/>
      <c r="I1959" s="97"/>
      <c r="J1959"/>
      <c r="K1959"/>
    </row>
    <row r="1960" spans="1:11" s="21" customFormat="1">
      <c r="A1960"/>
      <c r="B1960"/>
      <c r="F1960"/>
      <c r="G1960"/>
      <c r="H1960"/>
      <c r="I1960" s="97"/>
      <c r="J1960"/>
      <c r="K1960"/>
    </row>
    <row r="1961" spans="1:11" s="21" customFormat="1">
      <c r="A1961"/>
      <c r="B1961"/>
      <c r="F1961"/>
      <c r="G1961"/>
      <c r="H1961"/>
      <c r="I1961" s="97"/>
      <c r="J1961"/>
      <c r="K1961"/>
    </row>
    <row r="1962" spans="1:11" s="21" customFormat="1">
      <c r="A1962"/>
      <c r="B1962"/>
      <c r="F1962"/>
      <c r="G1962"/>
      <c r="H1962"/>
      <c r="I1962" s="97"/>
      <c r="J1962"/>
      <c r="K1962"/>
    </row>
    <row r="1963" spans="1:11" s="21" customFormat="1">
      <c r="A1963"/>
      <c r="B1963"/>
      <c r="F1963"/>
      <c r="G1963"/>
      <c r="H1963"/>
      <c r="I1963" s="97"/>
      <c r="J1963"/>
      <c r="K1963"/>
    </row>
    <row r="1964" spans="1:11" s="21" customFormat="1">
      <c r="A1964"/>
      <c r="B1964"/>
      <c r="F1964"/>
      <c r="G1964"/>
      <c r="H1964"/>
      <c r="I1964" s="97"/>
      <c r="J1964"/>
      <c r="K1964"/>
    </row>
    <row r="1965" spans="1:11" s="21" customFormat="1">
      <c r="A1965"/>
      <c r="B1965"/>
      <c r="F1965"/>
      <c r="G1965"/>
      <c r="H1965"/>
      <c r="I1965" s="97"/>
      <c r="J1965"/>
      <c r="K1965"/>
    </row>
    <row r="1966" spans="1:11" s="21" customFormat="1">
      <c r="A1966"/>
      <c r="B1966"/>
      <c r="F1966"/>
      <c r="G1966"/>
      <c r="H1966"/>
      <c r="I1966" s="97"/>
      <c r="J1966"/>
      <c r="K1966"/>
    </row>
    <row r="1967" spans="1:11" s="21" customFormat="1">
      <c r="A1967"/>
      <c r="B1967"/>
      <c r="F1967"/>
      <c r="G1967"/>
      <c r="H1967"/>
      <c r="I1967" s="97"/>
      <c r="J1967"/>
      <c r="K1967"/>
    </row>
    <row r="1968" spans="1:11" s="21" customFormat="1">
      <c r="A1968"/>
      <c r="B1968"/>
      <c r="F1968"/>
      <c r="G1968"/>
      <c r="H1968"/>
      <c r="I1968" s="97"/>
      <c r="J1968"/>
      <c r="K1968"/>
    </row>
    <row r="1969" spans="1:11" s="21" customFormat="1">
      <c r="A1969"/>
      <c r="B1969"/>
      <c r="F1969"/>
      <c r="G1969"/>
      <c r="H1969"/>
      <c r="I1969" s="97"/>
      <c r="J1969"/>
      <c r="K1969"/>
    </row>
    <row r="1970" spans="1:11" s="21" customFormat="1">
      <c r="A1970"/>
      <c r="B1970"/>
      <c r="F1970"/>
      <c r="G1970"/>
      <c r="H1970"/>
      <c r="I1970" s="97"/>
      <c r="J1970"/>
      <c r="K1970"/>
    </row>
    <row r="1971" spans="1:11" s="21" customFormat="1">
      <c r="A1971"/>
      <c r="B1971"/>
      <c r="F1971"/>
      <c r="G1971"/>
      <c r="H1971"/>
      <c r="I1971" s="97"/>
      <c r="J1971"/>
      <c r="K1971"/>
    </row>
    <row r="1972" spans="1:11" s="21" customFormat="1">
      <c r="A1972"/>
      <c r="B1972"/>
      <c r="F1972"/>
      <c r="G1972"/>
      <c r="H1972"/>
      <c r="I1972" s="97"/>
      <c r="J1972"/>
      <c r="K1972"/>
    </row>
    <row r="1973" spans="1:11" s="21" customFormat="1">
      <c r="A1973"/>
      <c r="B1973"/>
      <c r="F1973"/>
      <c r="G1973"/>
      <c r="H1973"/>
      <c r="I1973" s="97"/>
      <c r="J1973"/>
      <c r="K1973"/>
    </row>
    <row r="1974" spans="1:11" s="21" customFormat="1">
      <c r="A1974"/>
      <c r="B1974"/>
      <c r="F1974"/>
      <c r="G1974"/>
      <c r="H1974"/>
      <c r="I1974" s="97"/>
      <c r="J1974"/>
      <c r="K1974"/>
    </row>
    <row r="1975" spans="1:11" s="21" customFormat="1">
      <c r="A1975"/>
      <c r="B1975"/>
      <c r="F1975"/>
      <c r="G1975"/>
      <c r="H1975"/>
      <c r="I1975" s="97"/>
      <c r="J1975"/>
      <c r="K1975"/>
    </row>
    <row r="1976" spans="1:11" s="21" customFormat="1">
      <c r="A1976"/>
      <c r="B1976"/>
      <c r="F1976"/>
      <c r="G1976"/>
      <c r="H1976"/>
      <c r="I1976" s="97"/>
      <c r="J1976"/>
      <c r="K1976"/>
    </row>
    <row r="1977" spans="1:11" s="21" customFormat="1">
      <c r="A1977"/>
      <c r="B1977"/>
      <c r="F1977"/>
      <c r="G1977"/>
      <c r="H1977"/>
      <c r="I1977" s="97"/>
      <c r="J1977"/>
      <c r="K1977"/>
    </row>
    <row r="1978" spans="1:11" s="21" customFormat="1">
      <c r="A1978"/>
      <c r="B1978"/>
      <c r="F1978"/>
      <c r="G1978"/>
      <c r="H1978"/>
      <c r="I1978" s="97"/>
      <c r="J1978"/>
      <c r="K1978"/>
    </row>
    <row r="1979" spans="1:11" s="21" customFormat="1">
      <c r="A1979"/>
      <c r="B1979"/>
      <c r="F1979"/>
      <c r="G1979"/>
      <c r="H1979"/>
      <c r="I1979" s="97"/>
      <c r="J1979"/>
      <c r="K1979"/>
    </row>
    <row r="1980" spans="1:11" s="21" customFormat="1">
      <c r="A1980"/>
      <c r="B1980"/>
      <c r="F1980"/>
      <c r="G1980"/>
      <c r="H1980"/>
      <c r="I1980" s="97"/>
      <c r="J1980"/>
      <c r="K1980"/>
    </row>
    <row r="1981" spans="1:11" s="21" customFormat="1">
      <c r="A1981"/>
      <c r="B1981"/>
      <c r="F1981"/>
      <c r="G1981"/>
      <c r="H1981"/>
      <c r="I1981" s="97"/>
      <c r="J1981"/>
      <c r="K1981"/>
    </row>
    <row r="1982" spans="1:11" s="21" customFormat="1">
      <c r="A1982"/>
      <c r="B1982"/>
      <c r="F1982"/>
      <c r="G1982"/>
      <c r="H1982"/>
      <c r="I1982" s="97"/>
      <c r="J1982"/>
      <c r="K1982"/>
    </row>
    <row r="1983" spans="1:11" s="21" customFormat="1">
      <c r="A1983"/>
      <c r="B1983"/>
      <c r="F1983"/>
      <c r="G1983"/>
      <c r="H1983"/>
      <c r="I1983" s="97"/>
      <c r="J1983"/>
      <c r="K1983"/>
    </row>
    <row r="1984" spans="1:11" s="21" customFormat="1">
      <c r="A1984"/>
      <c r="B1984"/>
      <c r="F1984"/>
      <c r="G1984"/>
      <c r="H1984"/>
      <c r="I1984" s="97"/>
      <c r="J1984"/>
      <c r="K1984"/>
    </row>
    <row r="1985" spans="1:11" s="21" customFormat="1">
      <c r="A1985"/>
      <c r="B1985"/>
      <c r="F1985"/>
      <c r="G1985"/>
      <c r="H1985"/>
      <c r="I1985" s="97"/>
      <c r="J1985"/>
      <c r="K1985"/>
    </row>
    <row r="1986" spans="1:11" s="21" customFormat="1">
      <c r="A1986"/>
      <c r="B1986"/>
      <c r="F1986"/>
      <c r="G1986"/>
      <c r="H1986"/>
      <c r="I1986" s="97"/>
      <c r="J1986"/>
      <c r="K1986"/>
    </row>
    <row r="1987" spans="1:11" s="21" customFormat="1">
      <c r="A1987"/>
      <c r="B1987"/>
      <c r="F1987"/>
      <c r="G1987"/>
      <c r="H1987"/>
      <c r="I1987" s="97"/>
      <c r="J1987"/>
      <c r="K1987"/>
    </row>
    <row r="1988" spans="1:11" s="21" customFormat="1">
      <c r="A1988"/>
      <c r="B1988"/>
      <c r="F1988"/>
      <c r="G1988"/>
      <c r="H1988"/>
      <c r="I1988" s="97"/>
      <c r="J1988"/>
      <c r="K1988"/>
    </row>
    <row r="1989" spans="1:11" s="21" customFormat="1">
      <c r="A1989"/>
      <c r="B1989"/>
      <c r="F1989"/>
      <c r="G1989"/>
      <c r="H1989"/>
      <c r="I1989" s="97"/>
      <c r="J1989"/>
      <c r="K1989"/>
    </row>
    <row r="1990" spans="1:11" s="21" customFormat="1">
      <c r="A1990"/>
      <c r="B1990"/>
      <c r="F1990"/>
      <c r="G1990"/>
      <c r="H1990"/>
      <c r="I1990" s="97"/>
      <c r="J1990"/>
      <c r="K1990"/>
    </row>
    <row r="1991" spans="1:11" s="21" customFormat="1">
      <c r="A1991"/>
      <c r="B1991"/>
      <c r="F1991"/>
      <c r="G1991"/>
      <c r="H1991"/>
      <c r="I1991" s="97"/>
      <c r="J1991"/>
      <c r="K1991"/>
    </row>
    <row r="1992" spans="1:11" s="21" customFormat="1">
      <c r="A1992"/>
      <c r="B1992"/>
      <c r="F1992"/>
      <c r="G1992"/>
      <c r="H1992"/>
      <c r="I1992" s="97"/>
      <c r="J1992"/>
      <c r="K1992"/>
    </row>
    <row r="1993" spans="1:11" s="21" customFormat="1">
      <c r="A1993"/>
      <c r="B1993"/>
      <c r="F1993"/>
      <c r="G1993"/>
      <c r="H1993"/>
      <c r="I1993" s="97"/>
      <c r="J1993"/>
      <c r="K1993"/>
    </row>
    <row r="1994" spans="1:11" s="21" customFormat="1">
      <c r="A1994"/>
      <c r="B1994"/>
      <c r="F1994"/>
      <c r="G1994"/>
      <c r="H1994"/>
      <c r="I1994" s="97"/>
      <c r="J1994"/>
      <c r="K1994"/>
    </row>
    <row r="1995" spans="1:11" s="21" customFormat="1">
      <c r="A1995"/>
      <c r="B1995"/>
      <c r="F1995"/>
      <c r="G1995"/>
      <c r="H1995"/>
      <c r="I1995" s="97"/>
      <c r="J1995"/>
      <c r="K1995"/>
    </row>
    <row r="1996" spans="1:11" s="21" customFormat="1">
      <c r="A1996"/>
      <c r="B1996"/>
      <c r="F1996"/>
      <c r="G1996"/>
      <c r="H1996"/>
      <c r="I1996" s="97"/>
      <c r="J1996"/>
      <c r="K1996"/>
    </row>
    <row r="1997" spans="1:11" s="21" customFormat="1">
      <c r="A1997"/>
      <c r="B1997"/>
      <c r="F1997"/>
      <c r="G1997"/>
      <c r="H1997"/>
      <c r="I1997" s="97"/>
      <c r="J1997"/>
      <c r="K1997"/>
    </row>
    <row r="1998" spans="1:11" s="21" customFormat="1">
      <c r="A1998"/>
      <c r="B1998"/>
      <c r="F1998"/>
      <c r="G1998"/>
      <c r="H1998"/>
      <c r="I1998" s="97"/>
      <c r="J1998"/>
      <c r="K1998"/>
    </row>
    <row r="1999" spans="1:11" s="21" customFormat="1">
      <c r="A1999"/>
      <c r="B1999"/>
      <c r="F1999"/>
      <c r="G1999"/>
      <c r="H1999"/>
      <c r="I1999" s="97"/>
      <c r="J1999"/>
      <c r="K1999"/>
    </row>
    <row r="2000" spans="1:11" s="21" customFormat="1">
      <c r="A2000"/>
      <c r="B2000"/>
      <c r="F2000"/>
      <c r="G2000"/>
      <c r="H2000"/>
      <c r="I2000" s="97"/>
      <c r="J2000"/>
      <c r="K2000"/>
    </row>
    <row r="2001" spans="1:11" s="21" customFormat="1">
      <c r="A2001"/>
      <c r="B2001"/>
      <c r="F2001"/>
      <c r="G2001"/>
      <c r="H2001"/>
      <c r="I2001" s="97"/>
      <c r="J2001"/>
      <c r="K2001"/>
    </row>
    <row r="2002" spans="1:11" s="21" customFormat="1">
      <c r="A2002"/>
      <c r="B2002"/>
      <c r="F2002"/>
      <c r="G2002"/>
      <c r="H2002"/>
      <c r="I2002" s="97"/>
      <c r="J2002"/>
      <c r="K2002"/>
    </row>
    <row r="2003" spans="1:11" s="21" customFormat="1">
      <c r="A2003"/>
      <c r="B2003"/>
      <c r="F2003"/>
      <c r="G2003"/>
      <c r="H2003"/>
      <c r="I2003" s="97"/>
      <c r="J2003"/>
      <c r="K2003"/>
    </row>
    <row r="2004" spans="1:11" s="21" customFormat="1">
      <c r="A2004"/>
      <c r="B2004"/>
      <c r="F2004"/>
      <c r="G2004"/>
      <c r="H2004"/>
      <c r="I2004" s="97"/>
      <c r="J2004"/>
      <c r="K2004"/>
    </row>
    <row r="2005" spans="1:11" s="21" customFormat="1">
      <c r="A2005"/>
      <c r="B2005"/>
      <c r="F2005"/>
      <c r="G2005"/>
      <c r="H2005"/>
      <c r="I2005" s="97"/>
      <c r="J2005"/>
      <c r="K2005"/>
    </row>
    <row r="2006" spans="1:11" s="21" customFormat="1">
      <c r="A2006"/>
      <c r="B2006"/>
      <c r="F2006"/>
      <c r="G2006"/>
      <c r="H2006"/>
      <c r="I2006" s="97"/>
      <c r="J2006"/>
      <c r="K2006"/>
    </row>
    <row r="2007" spans="1:11" s="21" customFormat="1">
      <c r="A2007"/>
      <c r="B2007"/>
      <c r="F2007"/>
      <c r="G2007"/>
      <c r="H2007"/>
      <c r="I2007" s="97"/>
      <c r="J2007"/>
      <c r="K2007"/>
    </row>
    <row r="2008" spans="1:11" s="21" customFormat="1">
      <c r="A2008"/>
      <c r="B2008"/>
      <c r="F2008"/>
      <c r="G2008"/>
      <c r="H2008"/>
      <c r="I2008" s="97"/>
      <c r="J2008"/>
      <c r="K2008"/>
    </row>
    <row r="2009" spans="1:11" s="21" customFormat="1">
      <c r="A2009"/>
      <c r="B2009"/>
      <c r="F2009"/>
      <c r="G2009"/>
      <c r="H2009"/>
      <c r="I2009" s="97"/>
      <c r="J2009"/>
      <c r="K2009"/>
    </row>
    <row r="2010" spans="1:11" s="21" customFormat="1">
      <c r="A2010"/>
      <c r="B2010"/>
      <c r="F2010"/>
      <c r="G2010"/>
      <c r="H2010"/>
      <c r="I2010" s="97"/>
      <c r="J2010"/>
      <c r="K2010"/>
    </row>
    <row r="2011" spans="1:11" s="21" customFormat="1">
      <c r="A2011"/>
      <c r="B2011"/>
      <c r="F2011"/>
      <c r="G2011"/>
      <c r="H2011"/>
      <c r="I2011" s="97"/>
      <c r="J2011"/>
      <c r="K2011"/>
    </row>
    <row r="2012" spans="1:11" s="21" customFormat="1">
      <c r="A2012"/>
      <c r="B2012"/>
      <c r="F2012"/>
      <c r="G2012"/>
      <c r="H2012"/>
      <c r="I2012" s="97"/>
      <c r="J2012"/>
      <c r="K2012"/>
    </row>
    <row r="2013" spans="1:11" s="21" customFormat="1">
      <c r="A2013"/>
      <c r="B2013"/>
      <c r="F2013"/>
      <c r="G2013"/>
      <c r="H2013"/>
      <c r="I2013" s="97"/>
      <c r="J2013"/>
      <c r="K2013"/>
    </row>
    <row r="2014" spans="1:11" s="21" customFormat="1">
      <c r="A2014"/>
      <c r="B2014"/>
      <c r="F2014"/>
      <c r="G2014"/>
      <c r="H2014"/>
      <c r="I2014" s="97"/>
      <c r="J2014"/>
      <c r="K2014"/>
    </row>
    <row r="2015" spans="1:11" s="21" customFormat="1">
      <c r="A2015"/>
      <c r="B2015"/>
      <c r="F2015"/>
      <c r="G2015"/>
      <c r="H2015"/>
      <c r="I2015" s="97"/>
      <c r="J2015"/>
      <c r="K2015"/>
    </row>
    <row r="2016" spans="1:11" s="21" customFormat="1">
      <c r="A2016"/>
      <c r="B2016"/>
      <c r="F2016"/>
      <c r="G2016"/>
      <c r="H2016"/>
      <c r="I2016" s="97"/>
      <c r="J2016"/>
      <c r="K2016"/>
    </row>
    <row r="2017" spans="1:11" s="21" customFormat="1">
      <c r="A2017"/>
      <c r="B2017"/>
      <c r="F2017"/>
      <c r="G2017"/>
      <c r="H2017"/>
      <c r="I2017" s="97"/>
      <c r="J2017"/>
      <c r="K2017"/>
    </row>
    <row r="2018" spans="1:11" s="21" customFormat="1">
      <c r="A2018"/>
      <c r="B2018"/>
      <c r="F2018"/>
      <c r="G2018"/>
      <c r="H2018"/>
      <c r="I2018" s="97"/>
      <c r="J2018"/>
      <c r="K2018"/>
    </row>
    <row r="2019" spans="1:11" s="21" customFormat="1">
      <c r="A2019"/>
      <c r="B2019"/>
      <c r="F2019"/>
      <c r="G2019"/>
      <c r="H2019"/>
      <c r="I2019" s="97"/>
      <c r="J2019"/>
      <c r="K2019"/>
    </row>
    <row r="2020" spans="1:11" s="21" customFormat="1">
      <c r="A2020"/>
      <c r="B2020"/>
      <c r="F2020"/>
      <c r="G2020"/>
      <c r="H2020"/>
      <c r="I2020" s="97"/>
      <c r="J2020"/>
      <c r="K2020"/>
    </row>
    <row r="2021" spans="1:11" s="21" customFormat="1">
      <c r="A2021"/>
      <c r="B2021"/>
      <c r="F2021"/>
      <c r="G2021"/>
      <c r="H2021"/>
      <c r="I2021" s="97"/>
      <c r="J2021"/>
      <c r="K2021"/>
    </row>
    <row r="2022" spans="1:11" s="21" customFormat="1">
      <c r="A2022"/>
      <c r="B2022"/>
      <c r="F2022"/>
      <c r="G2022"/>
      <c r="H2022"/>
      <c r="I2022" s="97"/>
      <c r="J2022"/>
      <c r="K2022"/>
    </row>
    <row r="2023" spans="1:11" s="21" customFormat="1">
      <c r="A2023"/>
      <c r="B2023"/>
      <c r="F2023"/>
      <c r="G2023"/>
      <c r="H2023"/>
      <c r="I2023" s="97"/>
      <c r="J2023"/>
      <c r="K2023"/>
    </row>
    <row r="2024" spans="1:11" s="21" customFormat="1">
      <c r="A2024"/>
      <c r="B2024"/>
      <c r="F2024"/>
      <c r="G2024"/>
      <c r="H2024"/>
      <c r="I2024" s="97"/>
      <c r="J2024"/>
      <c r="K2024"/>
    </row>
    <row r="2025" spans="1:11" s="21" customFormat="1">
      <c r="A2025"/>
      <c r="B2025"/>
      <c r="F2025"/>
      <c r="G2025"/>
      <c r="H2025"/>
      <c r="I2025" s="97"/>
      <c r="J2025"/>
      <c r="K2025"/>
    </row>
    <row r="2026" spans="1:11" s="21" customFormat="1">
      <c r="A2026"/>
      <c r="B2026"/>
      <c r="F2026"/>
      <c r="G2026"/>
      <c r="H2026"/>
      <c r="I2026" s="97"/>
      <c r="J2026"/>
      <c r="K2026"/>
    </row>
    <row r="2027" spans="1:11" s="21" customFormat="1">
      <c r="A2027"/>
      <c r="B2027"/>
      <c r="F2027"/>
      <c r="G2027"/>
      <c r="H2027"/>
      <c r="I2027" s="97"/>
      <c r="J2027"/>
      <c r="K2027"/>
    </row>
    <row r="2028" spans="1:11" s="21" customFormat="1">
      <c r="A2028"/>
      <c r="B2028"/>
      <c r="F2028"/>
      <c r="G2028"/>
      <c r="H2028"/>
      <c r="I2028" s="97"/>
      <c r="J2028"/>
      <c r="K2028"/>
    </row>
    <row r="2029" spans="1:11" s="21" customFormat="1">
      <c r="A2029"/>
      <c r="B2029"/>
      <c r="F2029"/>
      <c r="G2029"/>
      <c r="H2029"/>
      <c r="I2029" s="97"/>
      <c r="J2029"/>
      <c r="K2029"/>
    </row>
    <row r="2030" spans="1:11" s="21" customFormat="1">
      <c r="A2030"/>
      <c r="B2030"/>
      <c r="F2030"/>
      <c r="G2030"/>
      <c r="H2030"/>
      <c r="I2030" s="97"/>
      <c r="J2030"/>
      <c r="K2030"/>
    </row>
    <row r="2031" spans="1:11" s="21" customFormat="1">
      <c r="A2031"/>
      <c r="B2031"/>
      <c r="F2031"/>
      <c r="G2031"/>
      <c r="H2031"/>
      <c r="I2031" s="97"/>
      <c r="J2031"/>
      <c r="K2031"/>
    </row>
    <row r="2032" spans="1:11" s="21" customFormat="1">
      <c r="A2032"/>
      <c r="B2032"/>
      <c r="F2032"/>
      <c r="G2032"/>
      <c r="H2032"/>
      <c r="I2032" s="97"/>
      <c r="J2032"/>
      <c r="K2032"/>
    </row>
    <row r="2033" spans="1:11" s="21" customFormat="1">
      <c r="A2033"/>
      <c r="B2033"/>
      <c r="F2033"/>
      <c r="G2033"/>
      <c r="H2033"/>
      <c r="I2033" s="97"/>
      <c r="J2033"/>
      <c r="K2033"/>
    </row>
    <row r="2034" spans="1:11" s="21" customFormat="1">
      <c r="A2034"/>
      <c r="B2034"/>
      <c r="F2034"/>
      <c r="G2034"/>
      <c r="H2034"/>
      <c r="I2034" s="97"/>
      <c r="J2034"/>
      <c r="K2034"/>
    </row>
    <row r="2035" spans="1:11" s="21" customFormat="1">
      <c r="A2035"/>
      <c r="B2035"/>
      <c r="F2035"/>
      <c r="G2035"/>
      <c r="H2035"/>
      <c r="I2035" s="97"/>
      <c r="J2035"/>
      <c r="K2035"/>
    </row>
    <row r="2036" spans="1:11" s="21" customFormat="1">
      <c r="A2036"/>
      <c r="B2036"/>
      <c r="F2036"/>
      <c r="G2036"/>
      <c r="H2036"/>
      <c r="I2036" s="97"/>
      <c r="J2036"/>
      <c r="K2036"/>
    </row>
    <row r="2037" spans="1:11" s="21" customFormat="1">
      <c r="A2037"/>
      <c r="B2037"/>
      <c r="F2037"/>
      <c r="G2037"/>
      <c r="H2037"/>
      <c r="I2037" s="97"/>
      <c r="J2037"/>
      <c r="K2037"/>
    </row>
    <row r="2038" spans="1:11" s="21" customFormat="1">
      <c r="A2038"/>
      <c r="B2038"/>
      <c r="F2038"/>
      <c r="G2038"/>
      <c r="H2038"/>
      <c r="I2038" s="97"/>
      <c r="J2038"/>
      <c r="K2038"/>
    </row>
    <row r="2039" spans="1:11" s="21" customFormat="1">
      <c r="A2039"/>
      <c r="B2039"/>
      <c r="F2039"/>
      <c r="G2039"/>
      <c r="H2039"/>
      <c r="I2039" s="97"/>
      <c r="J2039"/>
      <c r="K2039"/>
    </row>
    <row r="2040" spans="1:11" s="21" customFormat="1">
      <c r="A2040"/>
      <c r="B2040"/>
      <c r="F2040"/>
      <c r="G2040"/>
      <c r="H2040"/>
      <c r="I2040" s="97"/>
      <c r="J2040"/>
      <c r="K2040"/>
    </row>
    <row r="2041" spans="1:11" s="21" customFormat="1">
      <c r="A2041"/>
      <c r="B2041"/>
      <c r="F2041"/>
      <c r="G2041"/>
      <c r="H2041"/>
      <c r="I2041" s="97"/>
      <c r="J2041"/>
      <c r="K2041"/>
    </row>
    <row r="2042" spans="1:11" s="21" customFormat="1">
      <c r="A2042"/>
      <c r="B2042"/>
      <c r="F2042"/>
      <c r="G2042"/>
      <c r="H2042"/>
      <c r="I2042" s="97"/>
      <c r="J2042"/>
      <c r="K2042"/>
    </row>
    <row r="2043" spans="1:11" s="21" customFormat="1">
      <c r="A2043"/>
      <c r="B2043"/>
      <c r="F2043"/>
      <c r="G2043"/>
      <c r="H2043"/>
      <c r="I2043" s="97"/>
      <c r="J2043"/>
      <c r="K2043"/>
    </row>
    <row r="2044" spans="1:11" s="21" customFormat="1">
      <c r="A2044"/>
      <c r="B2044"/>
      <c r="F2044"/>
      <c r="G2044"/>
      <c r="H2044"/>
      <c r="I2044" s="97"/>
      <c r="J2044"/>
      <c r="K2044"/>
    </row>
    <row r="2045" spans="1:11" s="21" customFormat="1">
      <c r="A2045"/>
      <c r="B2045"/>
      <c r="F2045"/>
      <c r="G2045"/>
      <c r="H2045"/>
      <c r="I2045" s="97"/>
      <c r="J2045"/>
      <c r="K2045"/>
    </row>
    <row r="2046" spans="1:11" s="21" customFormat="1">
      <c r="A2046"/>
      <c r="B2046"/>
      <c r="F2046"/>
      <c r="G2046"/>
      <c r="H2046"/>
      <c r="I2046" s="97"/>
      <c r="J2046"/>
      <c r="K2046"/>
    </row>
    <row r="2047" spans="1:11" s="21" customFormat="1">
      <c r="A2047"/>
      <c r="B2047"/>
      <c r="F2047"/>
      <c r="G2047"/>
      <c r="H2047"/>
      <c r="I2047" s="97"/>
      <c r="J2047"/>
      <c r="K2047"/>
    </row>
    <row r="2048" spans="1:11" s="21" customFormat="1">
      <c r="A2048"/>
      <c r="B2048"/>
      <c r="F2048"/>
      <c r="G2048"/>
      <c r="H2048"/>
      <c r="I2048" s="97"/>
      <c r="J2048"/>
      <c r="K2048"/>
    </row>
    <row r="2049" spans="1:11" s="21" customFormat="1">
      <c r="A2049"/>
      <c r="B2049"/>
      <c r="F2049"/>
      <c r="G2049"/>
      <c r="H2049"/>
      <c r="I2049" s="97"/>
      <c r="J2049"/>
      <c r="K2049"/>
    </row>
    <row r="2050" spans="1:11" s="21" customFormat="1">
      <c r="A2050"/>
      <c r="B2050"/>
      <c r="F2050"/>
      <c r="G2050"/>
      <c r="H2050"/>
      <c r="I2050" s="97"/>
      <c r="J2050"/>
      <c r="K2050"/>
    </row>
    <row r="2051" spans="1:11" s="21" customFormat="1">
      <c r="A2051"/>
      <c r="B2051"/>
      <c r="F2051"/>
      <c r="G2051"/>
      <c r="H2051"/>
      <c r="I2051" s="97"/>
      <c r="J2051"/>
      <c r="K2051"/>
    </row>
    <row r="2052" spans="1:11" s="21" customFormat="1">
      <c r="A2052"/>
      <c r="B2052"/>
      <c r="F2052"/>
      <c r="G2052"/>
      <c r="H2052"/>
      <c r="I2052" s="97"/>
      <c r="J2052"/>
      <c r="K2052"/>
    </row>
    <row r="2053" spans="1:11" s="21" customFormat="1">
      <c r="A2053"/>
      <c r="B2053"/>
      <c r="F2053"/>
      <c r="G2053"/>
      <c r="H2053"/>
      <c r="I2053" s="97"/>
      <c r="J2053"/>
      <c r="K2053"/>
    </row>
    <row r="2054" spans="1:11" s="21" customFormat="1">
      <c r="A2054"/>
      <c r="B2054"/>
      <c r="F2054"/>
      <c r="G2054"/>
      <c r="H2054"/>
      <c r="I2054" s="97"/>
      <c r="J2054"/>
      <c r="K2054"/>
    </row>
    <row r="2055" spans="1:11" s="21" customFormat="1">
      <c r="A2055"/>
      <c r="B2055"/>
      <c r="F2055"/>
      <c r="G2055"/>
      <c r="H2055"/>
      <c r="I2055" s="97"/>
      <c r="J2055"/>
      <c r="K2055"/>
    </row>
    <row r="2056" spans="1:11" s="21" customFormat="1">
      <c r="A2056"/>
      <c r="B2056"/>
      <c r="F2056"/>
      <c r="G2056"/>
      <c r="H2056"/>
      <c r="I2056" s="97"/>
      <c r="J2056"/>
      <c r="K2056"/>
    </row>
    <row r="2057" spans="1:11" s="21" customFormat="1">
      <c r="A2057"/>
      <c r="B2057"/>
      <c r="F2057"/>
      <c r="G2057"/>
      <c r="H2057"/>
      <c r="I2057" s="97"/>
      <c r="J2057"/>
      <c r="K2057"/>
    </row>
    <row r="2058" spans="1:11" s="21" customFormat="1">
      <c r="A2058"/>
      <c r="B2058"/>
      <c r="F2058"/>
      <c r="G2058"/>
      <c r="H2058"/>
      <c r="I2058" s="97"/>
      <c r="J2058"/>
      <c r="K2058"/>
    </row>
    <row r="2059" spans="1:11" s="21" customFormat="1">
      <c r="A2059"/>
      <c r="B2059"/>
      <c r="F2059"/>
      <c r="G2059"/>
      <c r="H2059"/>
      <c r="I2059" s="97"/>
      <c r="J2059"/>
      <c r="K2059"/>
    </row>
    <row r="2060" spans="1:11" s="21" customFormat="1">
      <c r="A2060"/>
      <c r="B2060"/>
      <c r="F2060"/>
      <c r="G2060"/>
      <c r="H2060"/>
      <c r="I2060" s="97"/>
      <c r="J2060"/>
      <c r="K2060"/>
    </row>
    <row r="2061" spans="1:11" s="21" customFormat="1">
      <c r="A2061"/>
      <c r="B2061"/>
      <c r="F2061"/>
      <c r="G2061"/>
      <c r="H2061"/>
      <c r="I2061" s="97"/>
      <c r="J2061"/>
      <c r="K2061"/>
    </row>
    <row r="2062" spans="1:11" s="21" customFormat="1">
      <c r="A2062"/>
      <c r="B2062"/>
      <c r="F2062"/>
      <c r="G2062"/>
      <c r="H2062"/>
      <c r="I2062" s="97"/>
      <c r="J2062"/>
      <c r="K2062"/>
    </row>
    <row r="2063" spans="1:11" s="21" customFormat="1">
      <c r="A2063"/>
      <c r="B2063"/>
      <c r="F2063"/>
      <c r="G2063"/>
      <c r="H2063"/>
      <c r="I2063" s="97"/>
      <c r="J2063"/>
      <c r="K2063"/>
    </row>
    <row r="2064" spans="1:11" s="21" customFormat="1">
      <c r="A2064"/>
      <c r="B2064"/>
      <c r="F2064"/>
      <c r="G2064"/>
      <c r="H2064"/>
      <c r="I2064" s="97"/>
      <c r="J2064"/>
      <c r="K2064"/>
    </row>
    <row r="2065" spans="1:11" s="21" customFormat="1">
      <c r="A2065"/>
      <c r="B2065"/>
      <c r="F2065"/>
      <c r="G2065"/>
      <c r="H2065"/>
      <c r="I2065" s="97"/>
      <c r="J2065"/>
      <c r="K2065"/>
    </row>
    <row r="2066" spans="1:11" s="21" customFormat="1">
      <c r="A2066"/>
      <c r="B2066"/>
      <c r="F2066"/>
      <c r="G2066"/>
      <c r="H2066"/>
      <c r="I2066" s="97"/>
      <c r="J2066"/>
      <c r="K2066"/>
    </row>
    <row r="2067" spans="1:11" s="21" customFormat="1">
      <c r="A2067"/>
      <c r="B2067"/>
      <c r="F2067"/>
      <c r="G2067"/>
      <c r="H2067"/>
      <c r="I2067" s="97"/>
      <c r="J2067"/>
      <c r="K2067"/>
    </row>
    <row r="2068" spans="1:11" s="21" customFormat="1">
      <c r="A2068"/>
      <c r="B2068"/>
      <c r="F2068"/>
      <c r="G2068"/>
      <c r="H2068"/>
      <c r="I2068" s="97"/>
      <c r="J2068"/>
      <c r="K2068"/>
    </row>
    <row r="2069" spans="1:11" s="21" customFormat="1">
      <c r="A2069"/>
      <c r="B2069"/>
      <c r="F2069"/>
      <c r="G2069"/>
      <c r="H2069"/>
      <c r="I2069" s="97"/>
      <c r="J2069"/>
      <c r="K2069"/>
    </row>
    <row r="2070" spans="1:11" s="21" customFormat="1">
      <c r="A2070"/>
      <c r="B2070"/>
      <c r="F2070"/>
      <c r="G2070"/>
      <c r="H2070"/>
      <c r="I2070" s="97"/>
      <c r="J2070"/>
      <c r="K2070"/>
    </row>
    <row r="2071" spans="1:11" s="21" customFormat="1">
      <c r="A2071"/>
      <c r="B2071"/>
      <c r="F2071"/>
      <c r="G2071"/>
      <c r="H2071"/>
      <c r="I2071" s="97"/>
      <c r="J2071"/>
      <c r="K2071"/>
    </row>
    <row r="2072" spans="1:11" s="21" customFormat="1">
      <c r="A2072"/>
      <c r="B2072"/>
      <c r="F2072"/>
      <c r="G2072"/>
      <c r="H2072"/>
      <c r="I2072" s="97"/>
      <c r="J2072"/>
      <c r="K2072"/>
    </row>
    <row r="2073" spans="1:11" s="21" customFormat="1">
      <c r="A2073"/>
      <c r="B2073"/>
      <c r="F2073"/>
      <c r="G2073"/>
      <c r="H2073"/>
      <c r="I2073" s="97"/>
      <c r="J2073"/>
      <c r="K2073"/>
    </row>
    <row r="2074" spans="1:11" s="21" customFormat="1">
      <c r="A2074"/>
      <c r="B2074"/>
      <c r="F2074"/>
      <c r="G2074"/>
      <c r="H2074"/>
      <c r="I2074" s="97"/>
      <c r="J2074"/>
      <c r="K2074"/>
    </row>
    <row r="2075" spans="1:11" s="21" customFormat="1">
      <c r="A2075"/>
      <c r="B2075"/>
      <c r="F2075"/>
      <c r="G2075"/>
      <c r="H2075"/>
      <c r="I2075" s="97"/>
      <c r="J2075"/>
      <c r="K2075"/>
    </row>
    <row r="2076" spans="1:11" s="21" customFormat="1">
      <c r="A2076"/>
      <c r="B2076"/>
      <c r="F2076"/>
      <c r="G2076"/>
      <c r="H2076"/>
      <c r="I2076" s="97"/>
      <c r="J2076"/>
      <c r="K2076"/>
    </row>
    <row r="2077" spans="1:11" s="21" customFormat="1">
      <c r="A2077"/>
      <c r="B2077"/>
      <c r="F2077"/>
      <c r="G2077"/>
      <c r="H2077"/>
      <c r="I2077" s="97"/>
      <c r="J2077"/>
      <c r="K2077"/>
    </row>
    <row r="2078" spans="1:11" s="21" customFormat="1">
      <c r="A2078"/>
      <c r="B2078"/>
      <c r="F2078"/>
      <c r="G2078"/>
      <c r="H2078"/>
      <c r="I2078" s="97"/>
      <c r="J2078"/>
      <c r="K2078"/>
    </row>
    <row r="2079" spans="1:11" s="21" customFormat="1">
      <c r="A2079"/>
      <c r="B2079"/>
      <c r="F2079"/>
      <c r="G2079"/>
      <c r="H2079"/>
      <c r="I2079" s="97"/>
      <c r="J2079"/>
      <c r="K2079"/>
    </row>
    <row r="2080" spans="1:11" s="21" customFormat="1">
      <c r="A2080"/>
      <c r="B2080"/>
      <c r="F2080"/>
      <c r="G2080"/>
      <c r="H2080"/>
      <c r="I2080" s="97"/>
      <c r="J2080"/>
      <c r="K2080"/>
    </row>
    <row r="2081" spans="1:11" s="21" customFormat="1">
      <c r="A2081"/>
      <c r="B2081"/>
      <c r="F2081"/>
      <c r="G2081"/>
      <c r="H2081"/>
      <c r="I2081" s="97"/>
      <c r="J2081"/>
      <c r="K2081"/>
    </row>
    <row r="2082" spans="1:11" s="21" customFormat="1">
      <c r="A2082"/>
      <c r="B2082"/>
      <c r="F2082"/>
      <c r="G2082"/>
      <c r="H2082"/>
      <c r="I2082" s="97"/>
      <c r="J2082"/>
      <c r="K2082"/>
    </row>
    <row r="2083" spans="1:11" s="21" customFormat="1">
      <c r="A2083"/>
      <c r="B2083"/>
      <c r="F2083"/>
      <c r="G2083"/>
      <c r="H2083"/>
      <c r="I2083" s="97"/>
      <c r="J2083"/>
      <c r="K2083"/>
    </row>
    <row r="2084" spans="1:11" s="21" customFormat="1">
      <c r="A2084"/>
      <c r="B2084"/>
      <c r="F2084"/>
      <c r="G2084"/>
      <c r="H2084"/>
      <c r="I2084" s="97"/>
      <c r="J2084"/>
      <c r="K2084"/>
    </row>
    <row r="2085" spans="1:11" s="21" customFormat="1">
      <c r="A2085"/>
      <c r="B2085"/>
      <c r="F2085"/>
      <c r="G2085"/>
      <c r="H2085"/>
      <c r="I2085" s="97"/>
      <c r="J2085"/>
      <c r="K2085"/>
    </row>
    <row r="2086" spans="1:11" s="21" customFormat="1">
      <c r="A2086"/>
      <c r="B2086"/>
      <c r="F2086"/>
      <c r="G2086"/>
      <c r="H2086"/>
      <c r="I2086" s="97"/>
      <c r="J2086"/>
      <c r="K2086"/>
    </row>
    <row r="2087" spans="1:11" s="21" customFormat="1">
      <c r="A2087"/>
      <c r="B2087"/>
      <c r="F2087"/>
      <c r="G2087"/>
      <c r="H2087"/>
      <c r="I2087" s="97"/>
      <c r="J2087"/>
      <c r="K2087"/>
    </row>
    <row r="2088" spans="1:11" s="21" customFormat="1">
      <c r="A2088"/>
      <c r="B2088"/>
      <c r="F2088"/>
      <c r="G2088"/>
      <c r="H2088"/>
      <c r="I2088" s="97"/>
      <c r="J2088"/>
      <c r="K2088"/>
    </row>
    <row r="2089" spans="1:11" s="21" customFormat="1">
      <c r="A2089"/>
      <c r="B2089"/>
      <c r="F2089"/>
      <c r="G2089"/>
      <c r="H2089"/>
      <c r="I2089" s="97"/>
      <c r="J2089"/>
      <c r="K2089"/>
    </row>
    <row r="2090" spans="1:11" s="21" customFormat="1">
      <c r="A2090"/>
      <c r="B2090"/>
      <c r="F2090"/>
      <c r="G2090"/>
      <c r="H2090"/>
      <c r="I2090" s="97"/>
      <c r="J2090"/>
      <c r="K2090"/>
    </row>
    <row r="2091" spans="1:11" s="21" customFormat="1">
      <c r="A2091"/>
      <c r="B2091"/>
      <c r="F2091"/>
      <c r="G2091"/>
      <c r="H2091"/>
      <c r="I2091" s="97"/>
      <c r="J2091"/>
      <c r="K2091"/>
    </row>
    <row r="2092" spans="1:11" s="21" customFormat="1">
      <c r="A2092"/>
      <c r="B2092"/>
      <c r="F2092"/>
      <c r="G2092"/>
      <c r="H2092"/>
      <c r="I2092" s="97"/>
      <c r="J2092"/>
      <c r="K2092"/>
    </row>
    <row r="2093" spans="1:11" s="21" customFormat="1">
      <c r="A2093"/>
      <c r="B2093"/>
      <c r="F2093"/>
      <c r="G2093"/>
      <c r="H2093"/>
      <c r="I2093" s="97"/>
      <c r="J2093"/>
      <c r="K2093"/>
    </row>
    <row r="2094" spans="1:11" s="21" customFormat="1">
      <c r="A2094"/>
      <c r="B2094"/>
      <c r="F2094"/>
      <c r="G2094"/>
      <c r="H2094"/>
      <c r="I2094" s="97"/>
      <c r="J2094"/>
      <c r="K2094"/>
    </row>
    <row r="2095" spans="1:11" s="21" customFormat="1">
      <c r="A2095"/>
      <c r="B2095"/>
      <c r="F2095"/>
      <c r="G2095"/>
      <c r="H2095"/>
      <c r="I2095" s="97"/>
      <c r="J2095"/>
      <c r="K2095"/>
    </row>
    <row r="2096" spans="1:11" s="21" customFormat="1">
      <c r="A2096"/>
      <c r="B2096"/>
      <c r="F2096"/>
      <c r="G2096"/>
      <c r="H2096"/>
      <c r="I2096" s="97"/>
      <c r="J2096"/>
      <c r="K2096"/>
    </row>
    <row r="2097" spans="1:11" s="21" customFormat="1">
      <c r="A2097"/>
      <c r="B2097"/>
      <c r="F2097"/>
      <c r="G2097"/>
      <c r="H2097"/>
      <c r="I2097" s="97"/>
      <c r="J2097"/>
      <c r="K2097"/>
    </row>
    <row r="2098" spans="1:11" s="21" customFormat="1">
      <c r="A2098"/>
      <c r="B2098"/>
      <c r="F2098"/>
      <c r="G2098"/>
      <c r="H2098"/>
      <c r="I2098" s="97"/>
      <c r="J2098"/>
      <c r="K2098"/>
    </row>
    <row r="2099" spans="1:11" s="21" customFormat="1">
      <c r="A2099"/>
      <c r="B2099"/>
      <c r="F2099"/>
      <c r="G2099"/>
      <c r="H2099"/>
      <c r="I2099" s="97"/>
      <c r="J2099"/>
      <c r="K2099"/>
    </row>
    <row r="2100" spans="1:11" s="21" customFormat="1">
      <c r="A2100"/>
      <c r="B2100"/>
      <c r="F2100"/>
      <c r="G2100"/>
      <c r="H2100"/>
      <c r="I2100" s="97"/>
      <c r="J2100"/>
      <c r="K2100"/>
    </row>
    <row r="2101" spans="1:11" s="21" customFormat="1">
      <c r="A2101"/>
      <c r="B2101"/>
      <c r="F2101"/>
      <c r="G2101"/>
      <c r="H2101"/>
      <c r="I2101" s="97"/>
      <c r="J2101"/>
      <c r="K2101"/>
    </row>
    <row r="2102" spans="1:11" s="21" customFormat="1">
      <c r="A2102"/>
      <c r="B2102"/>
      <c r="F2102"/>
      <c r="G2102"/>
      <c r="H2102"/>
      <c r="I2102" s="97"/>
      <c r="J2102"/>
      <c r="K2102"/>
    </row>
    <row r="2103" spans="1:11" s="21" customFormat="1">
      <c r="A2103"/>
      <c r="B2103"/>
      <c r="F2103"/>
      <c r="G2103"/>
      <c r="H2103"/>
      <c r="I2103" s="97"/>
      <c r="J2103"/>
      <c r="K2103"/>
    </row>
    <row r="2104" spans="1:11" s="21" customFormat="1">
      <c r="A2104"/>
      <c r="B2104"/>
      <c r="F2104"/>
      <c r="G2104"/>
      <c r="H2104"/>
      <c r="I2104" s="97"/>
      <c r="J2104"/>
      <c r="K2104"/>
    </row>
    <row r="2105" spans="1:11" s="21" customFormat="1">
      <c r="A2105"/>
      <c r="B2105"/>
      <c r="F2105"/>
      <c r="G2105"/>
      <c r="H2105"/>
      <c r="I2105" s="97"/>
      <c r="J2105"/>
      <c r="K2105"/>
    </row>
    <row r="2106" spans="1:11" s="21" customFormat="1">
      <c r="A2106"/>
      <c r="B2106"/>
      <c r="F2106"/>
      <c r="G2106"/>
      <c r="H2106"/>
      <c r="I2106" s="97"/>
      <c r="J2106"/>
      <c r="K2106"/>
    </row>
    <row r="2107" spans="1:11" s="21" customFormat="1">
      <c r="A2107"/>
      <c r="B2107"/>
      <c r="F2107"/>
      <c r="G2107"/>
      <c r="H2107"/>
      <c r="I2107" s="97"/>
      <c r="J2107"/>
      <c r="K2107"/>
    </row>
    <row r="2108" spans="1:11" s="21" customFormat="1">
      <c r="A2108"/>
      <c r="B2108"/>
      <c r="F2108"/>
      <c r="G2108"/>
      <c r="H2108"/>
      <c r="I2108" s="97"/>
      <c r="J2108"/>
      <c r="K2108"/>
    </row>
    <row r="2109" spans="1:11" s="21" customFormat="1">
      <c r="A2109"/>
      <c r="B2109"/>
      <c r="F2109"/>
      <c r="G2109"/>
      <c r="H2109"/>
      <c r="I2109" s="97"/>
      <c r="J2109"/>
      <c r="K2109"/>
    </row>
    <row r="2110" spans="1:11" s="21" customFormat="1">
      <c r="A2110"/>
      <c r="B2110"/>
      <c r="F2110"/>
      <c r="G2110"/>
      <c r="H2110"/>
      <c r="I2110" s="97"/>
      <c r="J2110"/>
      <c r="K2110"/>
    </row>
    <row r="2111" spans="1:11" s="21" customFormat="1">
      <c r="A2111"/>
      <c r="B2111"/>
      <c r="F2111"/>
      <c r="G2111"/>
      <c r="H2111"/>
      <c r="I2111" s="97"/>
      <c r="J2111"/>
      <c r="K2111"/>
    </row>
    <row r="2112" spans="1:11" s="21" customFormat="1">
      <c r="A2112"/>
      <c r="B2112"/>
      <c r="F2112"/>
      <c r="G2112"/>
      <c r="H2112"/>
      <c r="I2112" s="97"/>
      <c r="J2112"/>
      <c r="K2112"/>
    </row>
    <row r="2113" spans="1:11" s="21" customFormat="1">
      <c r="A2113"/>
      <c r="B2113"/>
      <c r="F2113"/>
      <c r="G2113"/>
      <c r="H2113"/>
      <c r="I2113" s="97"/>
      <c r="J2113"/>
      <c r="K2113"/>
    </row>
    <row r="2114" spans="1:11" s="21" customFormat="1">
      <c r="A2114"/>
      <c r="B2114"/>
      <c r="F2114"/>
      <c r="G2114"/>
      <c r="H2114"/>
      <c r="I2114" s="97"/>
      <c r="J2114"/>
      <c r="K2114"/>
    </row>
    <row r="2115" spans="1:11" s="21" customFormat="1">
      <c r="A2115"/>
      <c r="B2115"/>
      <c r="F2115"/>
      <c r="G2115"/>
      <c r="H2115"/>
      <c r="I2115" s="97"/>
      <c r="J2115"/>
      <c r="K2115"/>
    </row>
    <row r="2116" spans="1:11" s="21" customFormat="1">
      <c r="A2116"/>
      <c r="B2116"/>
      <c r="F2116"/>
      <c r="G2116"/>
      <c r="H2116"/>
      <c r="I2116" s="97"/>
      <c r="J2116"/>
      <c r="K2116"/>
    </row>
    <row r="2117" spans="1:11" s="21" customFormat="1">
      <c r="A2117"/>
      <c r="B2117"/>
      <c r="F2117"/>
      <c r="G2117"/>
      <c r="H2117"/>
      <c r="I2117" s="97"/>
      <c r="J2117"/>
      <c r="K2117"/>
    </row>
    <row r="2118" spans="1:11" s="21" customFormat="1">
      <c r="A2118"/>
      <c r="B2118"/>
      <c r="F2118"/>
      <c r="G2118"/>
      <c r="H2118"/>
      <c r="I2118" s="97"/>
      <c r="J2118"/>
      <c r="K2118"/>
    </row>
    <row r="2119" spans="1:11" s="21" customFormat="1">
      <c r="A2119"/>
      <c r="B2119"/>
      <c r="F2119"/>
      <c r="G2119"/>
      <c r="H2119"/>
      <c r="I2119" s="97"/>
      <c r="J2119"/>
      <c r="K2119"/>
    </row>
    <row r="2120" spans="1:11" s="21" customFormat="1">
      <c r="A2120"/>
      <c r="B2120"/>
      <c r="F2120"/>
      <c r="G2120"/>
      <c r="H2120"/>
      <c r="I2120" s="97"/>
      <c r="J2120"/>
      <c r="K2120"/>
    </row>
    <row r="2121" spans="1:11" s="21" customFormat="1">
      <c r="A2121"/>
      <c r="B2121"/>
      <c r="F2121"/>
      <c r="G2121"/>
      <c r="H2121"/>
      <c r="I2121" s="97"/>
      <c r="J2121"/>
      <c r="K2121"/>
    </row>
    <row r="2122" spans="1:11" s="21" customFormat="1">
      <c r="A2122"/>
      <c r="B2122"/>
      <c r="F2122"/>
      <c r="G2122"/>
      <c r="H2122"/>
      <c r="I2122" s="97"/>
      <c r="J2122"/>
      <c r="K2122"/>
    </row>
    <row r="2123" spans="1:11" s="21" customFormat="1">
      <c r="A2123"/>
      <c r="B2123"/>
      <c r="F2123"/>
      <c r="G2123"/>
      <c r="H2123"/>
      <c r="I2123" s="97"/>
      <c r="J2123"/>
      <c r="K2123"/>
    </row>
    <row r="2124" spans="1:11" s="21" customFormat="1">
      <c r="A2124"/>
      <c r="B2124"/>
      <c r="F2124"/>
      <c r="G2124"/>
      <c r="H2124"/>
      <c r="I2124" s="97"/>
      <c r="J2124"/>
      <c r="K2124"/>
    </row>
    <row r="2125" spans="1:11" s="21" customFormat="1">
      <c r="A2125"/>
      <c r="B2125"/>
      <c r="F2125"/>
      <c r="G2125"/>
      <c r="H2125"/>
      <c r="I2125" s="97"/>
      <c r="J2125"/>
      <c r="K2125"/>
    </row>
    <row r="2126" spans="1:11" s="21" customFormat="1">
      <c r="A2126"/>
      <c r="B2126"/>
      <c r="F2126"/>
      <c r="G2126"/>
      <c r="H2126"/>
      <c r="I2126" s="97"/>
      <c r="J2126"/>
      <c r="K2126"/>
    </row>
    <row r="2127" spans="1:11" s="21" customFormat="1">
      <c r="A2127"/>
      <c r="B2127"/>
      <c r="F2127"/>
      <c r="G2127"/>
      <c r="H2127"/>
      <c r="I2127" s="97"/>
      <c r="J2127"/>
      <c r="K2127"/>
    </row>
    <row r="2128" spans="1:11" s="21" customFormat="1">
      <c r="A2128"/>
      <c r="B2128"/>
      <c r="F2128"/>
      <c r="G2128"/>
      <c r="H2128"/>
      <c r="I2128" s="97"/>
      <c r="J2128"/>
      <c r="K2128"/>
    </row>
    <row r="2129" spans="1:11" s="21" customFormat="1">
      <c r="A2129"/>
      <c r="B2129"/>
      <c r="F2129"/>
      <c r="G2129"/>
      <c r="H2129"/>
      <c r="I2129" s="97"/>
      <c r="J2129"/>
      <c r="K2129"/>
    </row>
    <row r="2130" spans="1:11" s="21" customFormat="1">
      <c r="A2130"/>
      <c r="B2130"/>
      <c r="F2130"/>
      <c r="G2130"/>
      <c r="H2130"/>
      <c r="I2130" s="97"/>
      <c r="J2130"/>
      <c r="K2130"/>
    </row>
    <row r="2131" spans="1:11" s="21" customFormat="1">
      <c r="A2131"/>
      <c r="B2131"/>
      <c r="F2131"/>
      <c r="G2131"/>
      <c r="H2131"/>
      <c r="I2131" s="97"/>
      <c r="J2131"/>
      <c r="K2131"/>
    </row>
    <row r="2132" spans="1:11" s="21" customFormat="1">
      <c r="A2132"/>
      <c r="B2132"/>
      <c r="F2132"/>
      <c r="G2132"/>
      <c r="H2132"/>
      <c r="I2132" s="97"/>
      <c r="J2132"/>
      <c r="K2132"/>
    </row>
    <row r="2133" spans="1:11" s="21" customFormat="1">
      <c r="A2133"/>
      <c r="B2133"/>
      <c r="F2133"/>
      <c r="G2133"/>
      <c r="H2133"/>
      <c r="I2133" s="97"/>
      <c r="J2133"/>
      <c r="K2133"/>
    </row>
    <row r="2134" spans="1:11" s="21" customFormat="1">
      <c r="A2134"/>
      <c r="B2134"/>
      <c r="F2134"/>
      <c r="G2134"/>
      <c r="H2134"/>
      <c r="I2134" s="97"/>
      <c r="J2134"/>
      <c r="K2134"/>
    </row>
    <row r="2135" spans="1:11" s="21" customFormat="1">
      <c r="A2135"/>
      <c r="B2135"/>
      <c r="F2135"/>
      <c r="G2135"/>
      <c r="H2135"/>
      <c r="I2135" s="97"/>
      <c r="J2135"/>
      <c r="K2135"/>
    </row>
    <row r="2136" spans="1:11" s="21" customFormat="1">
      <c r="A2136"/>
      <c r="B2136"/>
      <c r="F2136"/>
      <c r="G2136"/>
      <c r="H2136"/>
      <c r="I2136" s="97"/>
      <c r="J2136"/>
      <c r="K2136"/>
    </row>
    <row r="2137" spans="1:11" s="21" customFormat="1">
      <c r="A2137"/>
      <c r="B2137"/>
      <c r="F2137"/>
      <c r="G2137"/>
      <c r="H2137"/>
      <c r="I2137" s="97"/>
      <c r="J2137"/>
      <c r="K2137"/>
    </row>
    <row r="2138" spans="1:11" s="21" customFormat="1">
      <c r="A2138"/>
      <c r="B2138"/>
      <c r="F2138"/>
      <c r="G2138"/>
      <c r="H2138"/>
      <c r="I2138" s="97"/>
      <c r="J2138"/>
      <c r="K2138"/>
    </row>
    <row r="2139" spans="1:11" s="21" customFormat="1">
      <c r="A2139"/>
      <c r="B2139"/>
      <c r="F2139"/>
      <c r="G2139"/>
      <c r="H2139"/>
      <c r="I2139" s="97"/>
      <c r="J2139"/>
      <c r="K2139"/>
    </row>
    <row r="2140" spans="1:11" s="21" customFormat="1">
      <c r="A2140"/>
      <c r="B2140"/>
      <c r="F2140"/>
      <c r="G2140"/>
      <c r="H2140"/>
      <c r="I2140" s="97"/>
      <c r="J2140"/>
      <c r="K2140"/>
    </row>
    <row r="2141" spans="1:11" s="21" customFormat="1">
      <c r="A2141"/>
      <c r="B2141"/>
      <c r="F2141"/>
      <c r="G2141"/>
      <c r="H2141"/>
      <c r="I2141" s="97"/>
      <c r="J2141"/>
      <c r="K2141"/>
    </row>
    <row r="2142" spans="1:11" s="21" customFormat="1">
      <c r="A2142"/>
      <c r="B2142"/>
      <c r="F2142"/>
      <c r="G2142"/>
      <c r="H2142"/>
      <c r="I2142" s="97"/>
      <c r="J2142"/>
      <c r="K2142"/>
    </row>
    <row r="2143" spans="1:11" s="21" customFormat="1">
      <c r="A2143"/>
      <c r="B2143"/>
      <c r="F2143"/>
      <c r="G2143"/>
      <c r="H2143"/>
      <c r="I2143" s="97"/>
      <c r="J2143"/>
      <c r="K2143"/>
    </row>
    <row r="2144" spans="1:11" s="21" customFormat="1">
      <c r="A2144"/>
      <c r="B2144"/>
      <c r="F2144"/>
      <c r="G2144"/>
      <c r="H2144"/>
      <c r="I2144" s="97"/>
      <c r="J2144"/>
      <c r="K2144"/>
    </row>
    <row r="2145" spans="1:11" s="21" customFormat="1">
      <c r="A2145"/>
      <c r="B2145"/>
      <c r="F2145"/>
      <c r="G2145"/>
      <c r="H2145"/>
      <c r="I2145" s="97"/>
      <c r="J2145"/>
      <c r="K2145"/>
    </row>
    <row r="2146" spans="1:11" s="21" customFormat="1">
      <c r="A2146"/>
      <c r="B2146"/>
      <c r="F2146"/>
      <c r="G2146"/>
      <c r="H2146"/>
      <c r="I2146" s="97"/>
      <c r="J2146"/>
      <c r="K2146"/>
    </row>
    <row r="2147" spans="1:11" s="21" customFormat="1">
      <c r="A2147"/>
      <c r="B2147"/>
      <c r="F2147"/>
      <c r="G2147"/>
      <c r="H2147"/>
      <c r="I2147" s="97"/>
      <c r="J2147"/>
      <c r="K2147"/>
    </row>
    <row r="2148" spans="1:11" s="21" customFormat="1">
      <c r="A2148"/>
      <c r="B2148"/>
      <c r="F2148"/>
      <c r="G2148"/>
      <c r="H2148"/>
      <c r="I2148" s="97"/>
      <c r="J2148"/>
      <c r="K2148"/>
    </row>
    <row r="2149" spans="1:11" s="21" customFormat="1">
      <c r="A2149"/>
      <c r="B2149"/>
      <c r="F2149"/>
      <c r="G2149"/>
      <c r="H2149"/>
      <c r="I2149" s="97"/>
      <c r="J2149"/>
      <c r="K2149"/>
    </row>
    <row r="2150" spans="1:11" s="21" customFormat="1">
      <c r="A2150"/>
      <c r="B2150"/>
      <c r="F2150"/>
      <c r="G2150"/>
      <c r="H2150"/>
      <c r="I2150" s="97"/>
      <c r="J2150"/>
      <c r="K2150"/>
    </row>
    <row r="2151" spans="1:11" s="21" customFormat="1">
      <c r="A2151"/>
      <c r="B2151"/>
      <c r="F2151"/>
      <c r="G2151"/>
      <c r="H2151"/>
      <c r="I2151" s="97"/>
      <c r="J2151"/>
      <c r="K2151"/>
    </row>
    <row r="2152" spans="1:11" s="21" customFormat="1">
      <c r="A2152"/>
      <c r="B2152"/>
      <c r="F2152"/>
      <c r="G2152"/>
      <c r="H2152"/>
      <c r="I2152" s="97"/>
      <c r="J2152"/>
      <c r="K2152"/>
    </row>
    <row r="2153" spans="1:11" s="21" customFormat="1">
      <c r="A2153"/>
      <c r="B2153"/>
      <c r="F2153"/>
      <c r="G2153"/>
      <c r="H2153"/>
      <c r="I2153" s="97"/>
      <c r="J2153"/>
      <c r="K2153"/>
    </row>
    <row r="2154" spans="1:11" s="21" customFormat="1">
      <c r="A2154"/>
      <c r="B2154"/>
      <c r="F2154"/>
      <c r="G2154"/>
      <c r="H2154"/>
      <c r="I2154" s="97"/>
      <c r="J2154"/>
      <c r="K2154"/>
    </row>
    <row r="2155" spans="1:11" s="21" customFormat="1">
      <c r="A2155"/>
      <c r="B2155"/>
      <c r="F2155"/>
      <c r="G2155"/>
      <c r="H2155"/>
      <c r="I2155" s="97"/>
      <c r="J2155"/>
      <c r="K2155"/>
    </row>
    <row r="2156" spans="1:11" s="21" customFormat="1">
      <c r="A2156"/>
      <c r="B2156"/>
      <c r="F2156"/>
      <c r="G2156"/>
      <c r="H2156"/>
      <c r="I2156" s="97"/>
      <c r="J2156"/>
      <c r="K2156"/>
    </row>
    <row r="2157" spans="1:11" s="21" customFormat="1">
      <c r="A2157"/>
      <c r="B2157"/>
      <c r="F2157"/>
      <c r="G2157"/>
      <c r="H2157"/>
      <c r="I2157" s="97"/>
      <c r="J2157"/>
      <c r="K2157"/>
    </row>
    <row r="2158" spans="1:11" s="21" customFormat="1">
      <c r="A2158"/>
      <c r="B2158"/>
      <c r="F2158"/>
      <c r="G2158"/>
      <c r="H2158"/>
      <c r="I2158" s="97"/>
      <c r="J2158"/>
      <c r="K2158"/>
    </row>
    <row r="2159" spans="1:11" s="21" customFormat="1">
      <c r="A2159"/>
      <c r="B2159"/>
      <c r="F2159"/>
      <c r="G2159"/>
      <c r="H2159"/>
      <c r="I2159" s="97"/>
      <c r="J2159"/>
      <c r="K2159"/>
    </row>
    <row r="2160" spans="1:11" s="21" customFormat="1">
      <c r="A2160"/>
      <c r="B2160"/>
      <c r="F2160"/>
      <c r="G2160"/>
      <c r="H2160"/>
      <c r="I2160" s="97"/>
      <c r="J2160"/>
      <c r="K2160"/>
    </row>
    <row r="2161" spans="1:11" s="21" customFormat="1">
      <c r="A2161"/>
      <c r="B2161"/>
      <c r="F2161"/>
      <c r="G2161"/>
      <c r="H2161"/>
      <c r="I2161" s="97"/>
      <c r="J2161"/>
      <c r="K2161"/>
    </row>
    <row r="2162" spans="1:11" s="21" customFormat="1">
      <c r="A2162"/>
      <c r="B2162"/>
      <c r="F2162"/>
      <c r="G2162"/>
      <c r="H2162"/>
      <c r="I2162" s="97"/>
      <c r="J2162"/>
      <c r="K2162"/>
    </row>
    <row r="2163" spans="1:11" s="21" customFormat="1">
      <c r="A2163"/>
      <c r="B2163"/>
      <c r="F2163"/>
      <c r="G2163"/>
      <c r="H2163"/>
      <c r="I2163" s="97"/>
      <c r="J2163"/>
      <c r="K2163"/>
    </row>
    <row r="2164" spans="1:11" s="21" customFormat="1">
      <c r="A2164"/>
      <c r="B2164"/>
      <c r="F2164"/>
      <c r="G2164"/>
      <c r="H2164"/>
      <c r="I2164" s="97"/>
      <c r="J2164"/>
      <c r="K2164"/>
    </row>
    <row r="2165" spans="1:11" s="21" customFormat="1">
      <c r="A2165"/>
      <c r="B2165"/>
      <c r="F2165"/>
      <c r="G2165"/>
      <c r="H2165"/>
      <c r="I2165" s="97"/>
      <c r="J2165"/>
      <c r="K2165"/>
    </row>
    <row r="2166" spans="1:11" s="21" customFormat="1">
      <c r="A2166"/>
      <c r="B2166"/>
      <c r="F2166"/>
      <c r="G2166"/>
      <c r="H2166"/>
      <c r="I2166" s="97"/>
      <c r="J2166"/>
      <c r="K2166"/>
    </row>
    <row r="2167" spans="1:11" s="21" customFormat="1">
      <c r="A2167"/>
      <c r="B2167"/>
      <c r="F2167"/>
      <c r="G2167"/>
      <c r="H2167"/>
      <c r="I2167" s="97"/>
      <c r="J2167"/>
      <c r="K2167"/>
    </row>
    <row r="2168" spans="1:11" s="21" customFormat="1">
      <c r="A2168"/>
      <c r="B2168"/>
      <c r="F2168"/>
      <c r="G2168"/>
      <c r="H2168"/>
      <c r="I2168" s="97"/>
      <c r="J2168"/>
      <c r="K2168"/>
    </row>
    <row r="2169" spans="1:11" s="21" customFormat="1">
      <c r="A2169"/>
      <c r="B2169"/>
      <c r="F2169"/>
      <c r="G2169"/>
      <c r="H2169"/>
      <c r="I2169" s="97"/>
      <c r="J2169"/>
      <c r="K2169"/>
    </row>
    <row r="2170" spans="1:11" s="21" customFormat="1">
      <c r="A2170"/>
      <c r="B2170"/>
      <c r="F2170"/>
      <c r="G2170"/>
      <c r="H2170"/>
      <c r="I2170" s="97"/>
      <c r="J2170"/>
      <c r="K2170"/>
    </row>
    <row r="2171" spans="1:11" s="21" customFormat="1">
      <c r="A2171"/>
      <c r="B2171"/>
      <c r="F2171"/>
      <c r="G2171"/>
      <c r="H2171"/>
      <c r="I2171" s="97"/>
      <c r="J2171"/>
      <c r="K2171"/>
    </row>
    <row r="2172" spans="1:11" s="21" customFormat="1">
      <c r="A2172"/>
      <c r="B2172"/>
      <c r="F2172"/>
      <c r="G2172"/>
      <c r="H2172"/>
      <c r="I2172" s="97"/>
      <c r="J2172"/>
      <c r="K2172"/>
    </row>
    <row r="2173" spans="1:11" s="21" customFormat="1">
      <c r="A2173"/>
      <c r="B2173"/>
      <c r="F2173"/>
      <c r="G2173"/>
      <c r="H2173"/>
      <c r="I2173" s="97"/>
      <c r="J2173"/>
      <c r="K2173"/>
    </row>
    <row r="2174" spans="1:11" s="21" customFormat="1">
      <c r="A2174"/>
      <c r="B2174"/>
      <c r="F2174"/>
      <c r="G2174"/>
      <c r="H2174"/>
      <c r="I2174" s="97"/>
      <c r="J2174"/>
      <c r="K2174"/>
    </row>
    <row r="2175" spans="1:11" s="21" customFormat="1">
      <c r="A2175"/>
      <c r="B2175"/>
      <c r="F2175"/>
      <c r="G2175"/>
      <c r="H2175"/>
      <c r="I2175" s="97"/>
      <c r="J2175"/>
      <c r="K2175"/>
    </row>
    <row r="2176" spans="1:11" s="21" customFormat="1">
      <c r="A2176"/>
      <c r="B2176"/>
      <c r="F2176"/>
      <c r="G2176"/>
      <c r="H2176"/>
      <c r="I2176" s="97"/>
      <c r="J2176"/>
      <c r="K2176"/>
    </row>
    <row r="2177" spans="1:11" s="21" customFormat="1">
      <c r="A2177"/>
      <c r="B2177"/>
      <c r="F2177"/>
      <c r="G2177"/>
      <c r="H2177"/>
      <c r="I2177" s="97"/>
      <c r="J2177"/>
      <c r="K2177"/>
    </row>
    <row r="2178" spans="1:11" s="21" customFormat="1">
      <c r="A2178"/>
      <c r="B2178"/>
      <c r="F2178"/>
      <c r="G2178"/>
      <c r="H2178"/>
      <c r="I2178" s="97"/>
      <c r="J2178"/>
      <c r="K2178"/>
    </row>
    <row r="2179" spans="1:11" s="21" customFormat="1">
      <c r="A2179"/>
      <c r="B2179"/>
      <c r="F2179"/>
      <c r="G2179"/>
      <c r="H2179"/>
      <c r="I2179" s="97"/>
      <c r="J2179"/>
      <c r="K2179"/>
    </row>
    <row r="2180" spans="1:11" s="21" customFormat="1">
      <c r="A2180"/>
      <c r="B2180"/>
      <c r="F2180"/>
      <c r="G2180"/>
      <c r="H2180"/>
      <c r="I2180" s="97"/>
      <c r="J2180"/>
      <c r="K2180"/>
    </row>
    <row r="2181" spans="1:11" s="21" customFormat="1">
      <c r="A2181"/>
      <c r="B2181"/>
      <c r="F2181"/>
      <c r="G2181"/>
      <c r="H2181"/>
      <c r="I2181" s="97"/>
      <c r="J2181"/>
      <c r="K2181"/>
    </row>
    <row r="2182" spans="1:11" s="21" customFormat="1">
      <c r="A2182"/>
      <c r="B2182"/>
      <c r="F2182"/>
      <c r="G2182"/>
      <c r="H2182"/>
      <c r="I2182" s="97"/>
      <c r="J2182"/>
      <c r="K2182"/>
    </row>
    <row r="2183" spans="1:11" s="21" customFormat="1">
      <c r="A2183"/>
      <c r="B2183"/>
      <c r="F2183"/>
      <c r="G2183"/>
      <c r="H2183"/>
      <c r="I2183" s="97"/>
      <c r="J2183"/>
      <c r="K2183"/>
    </row>
    <row r="2184" spans="1:11" s="21" customFormat="1">
      <c r="A2184"/>
      <c r="B2184"/>
      <c r="F2184"/>
      <c r="G2184"/>
      <c r="H2184"/>
      <c r="I2184" s="97"/>
      <c r="J2184"/>
      <c r="K2184"/>
    </row>
    <row r="2185" spans="1:11" s="21" customFormat="1">
      <c r="A2185"/>
      <c r="B2185"/>
      <c r="F2185"/>
      <c r="G2185"/>
      <c r="H2185"/>
      <c r="I2185" s="97"/>
      <c r="J2185"/>
      <c r="K2185"/>
    </row>
    <row r="2186" spans="1:11" s="21" customFormat="1">
      <c r="A2186"/>
      <c r="B2186"/>
      <c r="F2186"/>
      <c r="G2186"/>
      <c r="H2186"/>
      <c r="I2186" s="97"/>
      <c r="J2186"/>
      <c r="K2186"/>
    </row>
    <row r="2187" spans="1:11" s="21" customFormat="1">
      <c r="A2187"/>
      <c r="B2187"/>
      <c r="F2187"/>
      <c r="G2187"/>
      <c r="H2187"/>
      <c r="I2187" s="97"/>
      <c r="J2187"/>
      <c r="K2187"/>
    </row>
    <row r="2188" spans="1:11" s="21" customFormat="1">
      <c r="A2188"/>
      <c r="B2188"/>
      <c r="F2188"/>
      <c r="G2188"/>
      <c r="H2188"/>
      <c r="I2188" s="97"/>
      <c r="J2188"/>
      <c r="K2188"/>
    </row>
    <row r="2189" spans="1:11" s="21" customFormat="1">
      <c r="A2189"/>
      <c r="B2189"/>
      <c r="F2189"/>
      <c r="G2189"/>
      <c r="H2189"/>
      <c r="I2189" s="97"/>
      <c r="J2189"/>
      <c r="K2189"/>
    </row>
    <row r="2190" spans="1:11" s="21" customFormat="1">
      <c r="A2190"/>
      <c r="B2190"/>
      <c r="F2190"/>
      <c r="G2190"/>
      <c r="H2190"/>
      <c r="I2190" s="97"/>
      <c r="J2190"/>
      <c r="K2190"/>
    </row>
    <row r="2191" spans="1:11" s="21" customFormat="1">
      <c r="A2191"/>
      <c r="B2191"/>
      <c r="F2191"/>
      <c r="G2191"/>
      <c r="H2191"/>
      <c r="I2191" s="97"/>
      <c r="J2191"/>
      <c r="K2191"/>
    </row>
    <row r="2192" spans="1:11" s="21" customFormat="1">
      <c r="A2192"/>
      <c r="B2192"/>
      <c r="F2192"/>
      <c r="G2192"/>
      <c r="H2192"/>
      <c r="I2192" s="97"/>
      <c r="J2192"/>
      <c r="K2192"/>
    </row>
    <row r="2193" spans="1:11" s="21" customFormat="1">
      <c r="A2193"/>
      <c r="B2193"/>
      <c r="F2193"/>
      <c r="G2193"/>
      <c r="H2193"/>
      <c r="I2193" s="97"/>
      <c r="J2193"/>
      <c r="K2193"/>
    </row>
    <row r="2194" spans="1:11" s="21" customFormat="1">
      <c r="A2194"/>
      <c r="B2194"/>
      <c r="F2194"/>
      <c r="G2194"/>
      <c r="H2194"/>
      <c r="I2194" s="97"/>
      <c r="J2194"/>
      <c r="K2194"/>
    </row>
    <row r="2195" spans="1:11" s="21" customFormat="1">
      <c r="A2195"/>
      <c r="B2195"/>
      <c r="F2195"/>
      <c r="G2195"/>
      <c r="H2195"/>
      <c r="I2195" s="97"/>
      <c r="J2195"/>
      <c r="K2195"/>
    </row>
    <row r="2196" spans="1:11" s="21" customFormat="1">
      <c r="A2196"/>
      <c r="B2196"/>
      <c r="F2196"/>
      <c r="G2196"/>
      <c r="H2196"/>
      <c r="I2196" s="97"/>
      <c r="J2196"/>
      <c r="K2196"/>
    </row>
    <row r="2197" spans="1:11" s="21" customFormat="1">
      <c r="A2197"/>
      <c r="B2197"/>
      <c r="F2197"/>
      <c r="G2197"/>
      <c r="H2197"/>
      <c r="I2197" s="97"/>
      <c r="J2197"/>
      <c r="K2197"/>
    </row>
    <row r="2198" spans="1:11" s="21" customFormat="1">
      <c r="A2198"/>
      <c r="B2198"/>
      <c r="F2198"/>
      <c r="G2198"/>
      <c r="H2198"/>
      <c r="I2198" s="97"/>
      <c r="J2198"/>
      <c r="K2198"/>
    </row>
    <row r="2199" spans="1:11" s="21" customFormat="1">
      <c r="A2199"/>
      <c r="B2199"/>
      <c r="F2199"/>
      <c r="G2199"/>
      <c r="H2199"/>
      <c r="I2199" s="97"/>
      <c r="J2199"/>
      <c r="K2199"/>
    </row>
    <row r="2200" spans="1:11" s="21" customFormat="1">
      <c r="A2200"/>
      <c r="B2200"/>
      <c r="F2200"/>
      <c r="G2200"/>
      <c r="H2200"/>
      <c r="I2200" s="97"/>
      <c r="J2200"/>
      <c r="K2200"/>
    </row>
    <row r="2201" spans="1:11" s="21" customFormat="1">
      <c r="A2201"/>
      <c r="B2201"/>
      <c r="F2201"/>
      <c r="G2201"/>
      <c r="H2201"/>
      <c r="I2201" s="97"/>
      <c r="J2201"/>
      <c r="K2201"/>
    </row>
    <row r="2202" spans="1:11" s="21" customFormat="1">
      <c r="A2202"/>
      <c r="B2202"/>
      <c r="F2202"/>
      <c r="G2202"/>
      <c r="H2202"/>
      <c r="I2202" s="97"/>
      <c r="J2202"/>
      <c r="K2202"/>
    </row>
    <row r="2203" spans="1:11" s="21" customFormat="1">
      <c r="A2203"/>
      <c r="B2203"/>
      <c r="F2203"/>
      <c r="G2203"/>
      <c r="H2203"/>
      <c r="I2203" s="97"/>
      <c r="J2203"/>
      <c r="K2203"/>
    </row>
    <row r="2204" spans="1:11" s="21" customFormat="1">
      <c r="A2204"/>
      <c r="B2204"/>
      <c r="F2204"/>
      <c r="G2204"/>
      <c r="H2204"/>
      <c r="I2204" s="97"/>
      <c r="J2204"/>
      <c r="K2204"/>
    </row>
    <row r="2205" spans="1:11" s="21" customFormat="1">
      <c r="A2205"/>
      <c r="B2205"/>
      <c r="F2205"/>
      <c r="G2205"/>
      <c r="H2205"/>
      <c r="I2205" s="97"/>
      <c r="J2205"/>
      <c r="K2205"/>
    </row>
    <row r="2206" spans="1:11" s="21" customFormat="1">
      <c r="A2206"/>
      <c r="B2206"/>
      <c r="F2206"/>
      <c r="G2206"/>
      <c r="H2206"/>
      <c r="I2206" s="97"/>
      <c r="J2206"/>
      <c r="K2206"/>
    </row>
    <row r="2207" spans="1:11" s="21" customFormat="1">
      <c r="A2207"/>
      <c r="B2207"/>
      <c r="F2207"/>
      <c r="G2207"/>
      <c r="H2207"/>
      <c r="I2207" s="97"/>
      <c r="J2207"/>
      <c r="K2207"/>
    </row>
    <row r="2208" spans="1:11" s="21" customFormat="1">
      <c r="A2208"/>
      <c r="B2208"/>
      <c r="F2208"/>
      <c r="G2208"/>
      <c r="H2208"/>
      <c r="I2208" s="97"/>
      <c r="J2208"/>
      <c r="K2208"/>
    </row>
    <row r="2209" spans="1:11" s="21" customFormat="1">
      <c r="A2209"/>
      <c r="B2209"/>
      <c r="F2209"/>
      <c r="G2209"/>
      <c r="H2209"/>
      <c r="I2209" s="97"/>
      <c r="J2209"/>
      <c r="K2209"/>
    </row>
    <row r="2210" spans="1:11" s="21" customFormat="1">
      <c r="A2210"/>
      <c r="B2210"/>
      <c r="F2210"/>
      <c r="G2210"/>
      <c r="H2210"/>
      <c r="I2210" s="97"/>
      <c r="J2210"/>
      <c r="K2210"/>
    </row>
    <row r="2211" spans="1:11" s="21" customFormat="1">
      <c r="A2211"/>
      <c r="B2211"/>
      <c r="F2211"/>
      <c r="G2211"/>
      <c r="H2211"/>
      <c r="I2211" s="97"/>
      <c r="J2211"/>
      <c r="K2211"/>
    </row>
    <row r="2212" spans="1:11" s="21" customFormat="1">
      <c r="A2212"/>
      <c r="B2212"/>
      <c r="F2212"/>
      <c r="G2212"/>
      <c r="H2212"/>
      <c r="I2212" s="97"/>
      <c r="J2212"/>
      <c r="K2212"/>
    </row>
    <row r="2213" spans="1:11" s="21" customFormat="1">
      <c r="A2213"/>
      <c r="B2213"/>
      <c r="F2213"/>
      <c r="G2213"/>
      <c r="H2213"/>
      <c r="I2213" s="97"/>
      <c r="J2213"/>
      <c r="K2213"/>
    </row>
    <row r="2214" spans="1:11" s="21" customFormat="1">
      <c r="A2214"/>
      <c r="B2214"/>
      <c r="F2214"/>
      <c r="G2214"/>
      <c r="H2214"/>
      <c r="I2214" s="97"/>
      <c r="J2214"/>
      <c r="K2214"/>
    </row>
    <row r="2215" spans="1:11" s="21" customFormat="1">
      <c r="A2215"/>
      <c r="B2215"/>
      <c r="F2215"/>
      <c r="G2215"/>
      <c r="H2215"/>
      <c r="I2215" s="97"/>
      <c r="J2215"/>
      <c r="K2215"/>
    </row>
    <row r="2216" spans="1:11" s="21" customFormat="1">
      <c r="A2216"/>
      <c r="B2216"/>
      <c r="F2216"/>
      <c r="G2216"/>
      <c r="H2216"/>
      <c r="I2216" s="97"/>
      <c r="J2216"/>
      <c r="K2216"/>
    </row>
    <row r="2217" spans="1:11" s="21" customFormat="1">
      <c r="A2217"/>
      <c r="B2217"/>
      <c r="F2217"/>
      <c r="G2217"/>
      <c r="H2217"/>
      <c r="I2217" s="97"/>
      <c r="J2217"/>
      <c r="K2217"/>
    </row>
    <row r="2218" spans="1:11" s="21" customFormat="1">
      <c r="A2218"/>
      <c r="B2218"/>
      <c r="F2218"/>
      <c r="G2218"/>
      <c r="H2218"/>
      <c r="I2218" s="97"/>
      <c r="J2218"/>
      <c r="K2218"/>
    </row>
    <row r="2219" spans="1:11" s="21" customFormat="1">
      <c r="A2219"/>
      <c r="B2219"/>
      <c r="F2219"/>
      <c r="G2219"/>
      <c r="H2219"/>
      <c r="I2219" s="97"/>
      <c r="J2219"/>
      <c r="K2219"/>
    </row>
    <row r="2220" spans="1:11" s="21" customFormat="1">
      <c r="A2220"/>
      <c r="B2220"/>
      <c r="F2220"/>
      <c r="G2220"/>
      <c r="H2220"/>
      <c r="I2220" s="97"/>
      <c r="J2220"/>
      <c r="K2220"/>
    </row>
    <row r="2221" spans="1:11" s="21" customFormat="1">
      <c r="A2221"/>
      <c r="B2221"/>
      <c r="F2221"/>
      <c r="G2221"/>
      <c r="H2221"/>
      <c r="I2221" s="97"/>
      <c r="J2221"/>
      <c r="K2221"/>
    </row>
    <row r="2222" spans="1:11" s="21" customFormat="1">
      <c r="A2222"/>
      <c r="B2222"/>
      <c r="F2222"/>
      <c r="G2222"/>
      <c r="H2222"/>
      <c r="I2222" s="97"/>
      <c r="J2222"/>
      <c r="K2222"/>
    </row>
    <row r="2223" spans="1:11" s="21" customFormat="1">
      <c r="A2223"/>
      <c r="B2223"/>
      <c r="F2223"/>
      <c r="G2223"/>
      <c r="H2223"/>
      <c r="I2223" s="97"/>
      <c r="J2223"/>
      <c r="K2223"/>
    </row>
    <row r="2224" spans="1:11" s="21" customFormat="1">
      <c r="A2224"/>
      <c r="B2224"/>
      <c r="F2224"/>
      <c r="G2224"/>
      <c r="H2224"/>
      <c r="I2224" s="97"/>
      <c r="J2224"/>
      <c r="K2224"/>
    </row>
    <row r="2225" spans="1:11" s="21" customFormat="1">
      <c r="A2225"/>
      <c r="B2225"/>
      <c r="F2225"/>
      <c r="G2225"/>
      <c r="H2225"/>
      <c r="I2225" s="97"/>
      <c r="J2225"/>
      <c r="K2225"/>
    </row>
    <row r="2226" spans="1:11" s="21" customFormat="1">
      <c r="A2226"/>
      <c r="B2226"/>
      <c r="F2226"/>
      <c r="G2226"/>
      <c r="H2226"/>
      <c r="I2226" s="97"/>
      <c r="J2226"/>
      <c r="K2226"/>
    </row>
    <row r="2227" spans="1:11" s="21" customFormat="1">
      <c r="A2227"/>
      <c r="B2227"/>
      <c r="F2227"/>
      <c r="G2227"/>
      <c r="H2227"/>
      <c r="I2227" s="97"/>
      <c r="J2227"/>
      <c r="K2227"/>
    </row>
    <row r="2228" spans="1:11" s="21" customFormat="1">
      <c r="A2228"/>
      <c r="B2228"/>
      <c r="F2228"/>
      <c r="G2228"/>
      <c r="H2228"/>
      <c r="I2228" s="97"/>
      <c r="J2228"/>
      <c r="K2228"/>
    </row>
    <row r="2229" spans="1:11" s="21" customFormat="1">
      <c r="A2229"/>
      <c r="B2229"/>
      <c r="F2229"/>
      <c r="G2229"/>
      <c r="H2229"/>
      <c r="I2229" s="97"/>
      <c r="J2229"/>
      <c r="K2229"/>
    </row>
    <row r="2230" spans="1:11" s="21" customFormat="1">
      <c r="A2230"/>
      <c r="B2230"/>
      <c r="F2230"/>
      <c r="G2230"/>
      <c r="H2230"/>
      <c r="I2230" s="97"/>
      <c r="J2230"/>
      <c r="K2230"/>
    </row>
    <row r="2231" spans="1:11" s="21" customFormat="1">
      <c r="A2231"/>
      <c r="B2231"/>
      <c r="F2231"/>
      <c r="G2231"/>
      <c r="H2231"/>
      <c r="I2231" s="97"/>
      <c r="J2231"/>
      <c r="K2231"/>
    </row>
    <row r="2232" spans="1:11" s="21" customFormat="1">
      <c r="A2232"/>
      <c r="B2232"/>
      <c r="F2232"/>
      <c r="G2232"/>
      <c r="H2232"/>
      <c r="I2232" s="97"/>
      <c r="J2232"/>
      <c r="K2232"/>
    </row>
    <row r="2233" spans="1:11" s="21" customFormat="1">
      <c r="A2233"/>
      <c r="B2233"/>
      <c r="F2233"/>
      <c r="G2233"/>
      <c r="H2233"/>
      <c r="I2233" s="97"/>
      <c r="J2233"/>
      <c r="K2233"/>
    </row>
    <row r="2234" spans="1:11" s="21" customFormat="1">
      <c r="A2234"/>
      <c r="B2234"/>
      <c r="F2234"/>
      <c r="G2234"/>
      <c r="H2234"/>
      <c r="I2234" s="97"/>
      <c r="J2234"/>
      <c r="K2234"/>
    </row>
    <row r="2235" spans="1:11" s="21" customFormat="1">
      <c r="A2235"/>
      <c r="B2235"/>
      <c r="F2235"/>
      <c r="G2235"/>
      <c r="H2235"/>
      <c r="I2235" s="97"/>
      <c r="J2235"/>
      <c r="K2235"/>
    </row>
    <row r="2236" spans="1:11" s="21" customFormat="1">
      <c r="A2236"/>
      <c r="B2236"/>
      <c r="F2236"/>
      <c r="G2236"/>
      <c r="H2236"/>
      <c r="I2236" s="97"/>
      <c r="J2236"/>
      <c r="K2236"/>
    </row>
    <row r="2237" spans="1:11" s="21" customFormat="1">
      <c r="A2237"/>
      <c r="B2237"/>
      <c r="F2237"/>
      <c r="G2237"/>
      <c r="H2237"/>
      <c r="I2237" s="97"/>
      <c r="J2237"/>
      <c r="K2237"/>
    </row>
    <row r="2238" spans="1:11" s="21" customFormat="1">
      <c r="A2238"/>
      <c r="B2238"/>
      <c r="F2238"/>
      <c r="G2238"/>
      <c r="H2238"/>
      <c r="I2238" s="97"/>
      <c r="J2238"/>
      <c r="K2238"/>
    </row>
    <row r="2239" spans="1:11" s="21" customFormat="1">
      <c r="A2239"/>
      <c r="B2239"/>
      <c r="F2239"/>
      <c r="G2239"/>
      <c r="H2239"/>
      <c r="I2239" s="97"/>
      <c r="J2239"/>
      <c r="K2239"/>
    </row>
    <row r="2240" spans="1:11" s="21" customFormat="1">
      <c r="A2240"/>
      <c r="B2240"/>
      <c r="F2240"/>
      <c r="G2240"/>
      <c r="H2240"/>
      <c r="I2240" s="97"/>
      <c r="J2240"/>
      <c r="K2240"/>
    </row>
    <row r="2241" spans="1:11" s="21" customFormat="1">
      <c r="A2241"/>
      <c r="B2241"/>
      <c r="F2241"/>
      <c r="G2241"/>
      <c r="H2241"/>
      <c r="I2241" s="97"/>
      <c r="J2241"/>
      <c r="K2241"/>
    </row>
    <row r="2242" spans="1:11" s="21" customFormat="1">
      <c r="A2242"/>
      <c r="B2242"/>
      <c r="F2242"/>
      <c r="G2242"/>
      <c r="H2242"/>
      <c r="I2242" s="97"/>
      <c r="J2242"/>
      <c r="K2242"/>
    </row>
    <row r="2243" spans="1:11" s="21" customFormat="1">
      <c r="A2243"/>
      <c r="B2243"/>
      <c r="F2243"/>
      <c r="G2243"/>
      <c r="H2243"/>
      <c r="I2243" s="97"/>
      <c r="J2243"/>
      <c r="K2243"/>
    </row>
    <row r="2244" spans="1:11" s="21" customFormat="1">
      <c r="A2244"/>
      <c r="B2244"/>
      <c r="F2244"/>
      <c r="G2244"/>
      <c r="H2244"/>
      <c r="I2244" s="97"/>
      <c r="J2244"/>
      <c r="K2244"/>
    </row>
    <row r="2245" spans="1:11" s="21" customFormat="1">
      <c r="A2245"/>
      <c r="B2245"/>
      <c r="F2245"/>
      <c r="G2245"/>
      <c r="H2245"/>
      <c r="I2245" s="97"/>
      <c r="J2245"/>
      <c r="K2245"/>
    </row>
    <row r="2246" spans="1:11" s="21" customFormat="1">
      <c r="A2246"/>
      <c r="B2246"/>
      <c r="F2246"/>
      <c r="G2246"/>
      <c r="H2246"/>
      <c r="I2246" s="97"/>
      <c r="J2246"/>
      <c r="K2246"/>
    </row>
    <row r="2247" spans="1:11" s="21" customFormat="1">
      <c r="A2247"/>
      <c r="B2247"/>
      <c r="F2247"/>
      <c r="G2247"/>
      <c r="H2247"/>
      <c r="I2247" s="97"/>
      <c r="J2247"/>
      <c r="K2247"/>
    </row>
    <row r="2248" spans="1:11" s="21" customFormat="1">
      <c r="A2248"/>
      <c r="B2248"/>
      <c r="F2248"/>
      <c r="G2248"/>
      <c r="H2248"/>
      <c r="I2248" s="97"/>
      <c r="J2248"/>
      <c r="K2248"/>
    </row>
    <row r="2249" spans="1:11" s="21" customFormat="1">
      <c r="A2249"/>
      <c r="B2249"/>
      <c r="F2249"/>
      <c r="G2249"/>
      <c r="H2249"/>
      <c r="I2249" s="97"/>
      <c r="J2249"/>
      <c r="K2249"/>
    </row>
    <row r="2250" spans="1:11" s="21" customFormat="1">
      <c r="A2250"/>
      <c r="B2250"/>
      <c r="F2250"/>
      <c r="G2250"/>
      <c r="H2250"/>
      <c r="I2250" s="97"/>
      <c r="J2250"/>
      <c r="K2250"/>
    </row>
    <row r="2251" spans="1:11" s="21" customFormat="1">
      <c r="A2251"/>
      <c r="B2251"/>
      <c r="F2251"/>
      <c r="G2251"/>
      <c r="H2251"/>
      <c r="I2251" s="97"/>
      <c r="J2251"/>
      <c r="K2251"/>
    </row>
    <row r="2252" spans="1:11" s="21" customFormat="1">
      <c r="A2252"/>
      <c r="B2252"/>
      <c r="F2252"/>
      <c r="G2252"/>
      <c r="H2252"/>
      <c r="I2252" s="97"/>
      <c r="J2252"/>
      <c r="K2252"/>
    </row>
    <row r="2253" spans="1:11" s="21" customFormat="1">
      <c r="A2253"/>
      <c r="B2253"/>
      <c r="F2253"/>
      <c r="G2253"/>
      <c r="H2253"/>
      <c r="I2253" s="97"/>
      <c r="J2253"/>
      <c r="K2253"/>
    </row>
    <row r="2254" spans="1:11" s="21" customFormat="1">
      <c r="A2254"/>
      <c r="B2254"/>
      <c r="F2254"/>
      <c r="G2254"/>
      <c r="H2254"/>
      <c r="I2254" s="97"/>
      <c r="J2254"/>
      <c r="K2254"/>
    </row>
    <row r="2255" spans="1:11" s="21" customFormat="1">
      <c r="A2255"/>
      <c r="B2255"/>
      <c r="F2255"/>
      <c r="G2255"/>
      <c r="H2255"/>
      <c r="I2255" s="97"/>
      <c r="J2255"/>
      <c r="K2255"/>
    </row>
    <row r="2256" spans="1:11" s="21" customFormat="1">
      <c r="A2256"/>
      <c r="B2256"/>
      <c r="F2256"/>
      <c r="G2256"/>
      <c r="H2256"/>
      <c r="I2256" s="97"/>
      <c r="J2256"/>
      <c r="K2256"/>
    </row>
    <row r="2257" spans="1:11" s="21" customFormat="1">
      <c r="A2257"/>
      <c r="B2257"/>
      <c r="F2257"/>
      <c r="G2257"/>
      <c r="H2257"/>
      <c r="I2257" s="97"/>
      <c r="J2257"/>
      <c r="K2257"/>
    </row>
    <row r="2258" spans="1:11" s="21" customFormat="1">
      <c r="A2258"/>
      <c r="B2258"/>
      <c r="F2258"/>
      <c r="G2258"/>
      <c r="H2258"/>
      <c r="I2258" s="97"/>
      <c r="J2258"/>
      <c r="K2258"/>
    </row>
    <row r="2259" spans="1:11" s="21" customFormat="1">
      <c r="A2259"/>
      <c r="B2259"/>
      <c r="F2259"/>
      <c r="G2259"/>
      <c r="H2259"/>
      <c r="I2259" s="97"/>
      <c r="J2259"/>
      <c r="K2259"/>
    </row>
    <row r="2260" spans="1:11" s="21" customFormat="1">
      <c r="A2260"/>
      <c r="B2260"/>
      <c r="F2260"/>
      <c r="G2260"/>
      <c r="H2260"/>
      <c r="I2260" s="97"/>
      <c r="J2260"/>
      <c r="K2260"/>
    </row>
    <row r="2261" spans="1:11" s="21" customFormat="1">
      <c r="A2261"/>
      <c r="B2261"/>
      <c r="F2261"/>
      <c r="G2261"/>
      <c r="H2261"/>
      <c r="I2261" s="97"/>
      <c r="J2261"/>
      <c r="K2261"/>
    </row>
    <row r="2262" spans="1:11" s="21" customFormat="1">
      <c r="A2262"/>
      <c r="B2262"/>
      <c r="F2262"/>
      <c r="G2262"/>
      <c r="H2262"/>
      <c r="I2262" s="97"/>
      <c r="J2262"/>
      <c r="K2262"/>
    </row>
    <row r="2263" spans="1:11" s="21" customFormat="1">
      <c r="A2263"/>
      <c r="B2263"/>
      <c r="F2263"/>
      <c r="G2263"/>
      <c r="H2263"/>
      <c r="I2263" s="97"/>
      <c r="J2263"/>
      <c r="K2263"/>
    </row>
    <row r="2264" spans="1:11" s="21" customFormat="1">
      <c r="A2264"/>
      <c r="B2264"/>
      <c r="F2264"/>
      <c r="G2264"/>
      <c r="H2264"/>
      <c r="I2264" s="97"/>
      <c r="J2264"/>
      <c r="K2264"/>
    </row>
    <row r="2265" spans="1:11" s="21" customFormat="1">
      <c r="A2265"/>
      <c r="B2265"/>
      <c r="F2265"/>
      <c r="G2265"/>
      <c r="H2265"/>
      <c r="I2265" s="97"/>
      <c r="J2265"/>
      <c r="K2265"/>
    </row>
    <row r="2266" spans="1:11" s="21" customFormat="1">
      <c r="A2266"/>
      <c r="B2266"/>
      <c r="F2266"/>
      <c r="G2266"/>
      <c r="H2266"/>
      <c r="I2266" s="97"/>
      <c r="J2266"/>
      <c r="K2266"/>
    </row>
    <row r="2267" spans="1:11" s="21" customFormat="1">
      <c r="A2267"/>
      <c r="B2267"/>
      <c r="F2267"/>
      <c r="G2267"/>
      <c r="H2267"/>
      <c r="I2267" s="97"/>
      <c r="J2267"/>
      <c r="K2267"/>
    </row>
    <row r="2268" spans="1:11" s="21" customFormat="1">
      <c r="A2268"/>
      <c r="B2268"/>
      <c r="F2268"/>
      <c r="G2268"/>
      <c r="H2268"/>
      <c r="I2268" s="97"/>
      <c r="J2268"/>
      <c r="K2268"/>
    </row>
    <row r="2269" spans="1:11" s="21" customFormat="1">
      <c r="A2269"/>
      <c r="B2269"/>
      <c r="F2269"/>
      <c r="G2269"/>
      <c r="H2269"/>
      <c r="I2269" s="97"/>
      <c r="J2269"/>
      <c r="K2269"/>
    </row>
    <row r="2270" spans="1:11" s="21" customFormat="1">
      <c r="A2270"/>
      <c r="B2270"/>
      <c r="F2270"/>
      <c r="G2270"/>
      <c r="H2270"/>
      <c r="I2270" s="97"/>
      <c r="J2270"/>
      <c r="K2270"/>
    </row>
    <row r="2271" spans="1:11" s="21" customFormat="1">
      <c r="A2271"/>
      <c r="B2271"/>
      <c r="F2271"/>
      <c r="G2271"/>
      <c r="H2271"/>
      <c r="I2271" s="97"/>
      <c r="J2271"/>
      <c r="K2271"/>
    </row>
    <row r="2272" spans="1:11" s="21" customFormat="1">
      <c r="A2272"/>
      <c r="B2272"/>
      <c r="F2272"/>
      <c r="G2272"/>
      <c r="H2272"/>
      <c r="I2272" s="97"/>
      <c r="J2272"/>
      <c r="K2272"/>
    </row>
    <row r="2273" spans="1:11" s="21" customFormat="1">
      <c r="A2273"/>
      <c r="B2273"/>
      <c r="F2273"/>
      <c r="G2273"/>
      <c r="H2273"/>
      <c r="I2273" s="97"/>
      <c r="J2273"/>
      <c r="K2273"/>
    </row>
    <row r="2274" spans="1:11" s="21" customFormat="1">
      <c r="A2274"/>
      <c r="B2274"/>
      <c r="F2274"/>
      <c r="G2274"/>
      <c r="H2274"/>
      <c r="I2274" s="97"/>
      <c r="J2274"/>
      <c r="K2274"/>
    </row>
    <row r="2275" spans="1:11" s="21" customFormat="1">
      <c r="A2275"/>
      <c r="B2275"/>
      <c r="F2275"/>
      <c r="G2275"/>
      <c r="H2275"/>
      <c r="I2275" s="97"/>
      <c r="J2275"/>
      <c r="K2275"/>
    </row>
    <row r="2276" spans="1:11" s="21" customFormat="1">
      <c r="A2276"/>
      <c r="B2276"/>
      <c r="F2276"/>
      <c r="G2276"/>
      <c r="H2276"/>
      <c r="I2276" s="97"/>
      <c r="J2276"/>
      <c r="K2276"/>
    </row>
    <row r="2277" spans="1:11" s="21" customFormat="1">
      <c r="A2277"/>
      <c r="B2277"/>
      <c r="F2277"/>
      <c r="G2277"/>
      <c r="H2277"/>
      <c r="I2277" s="97"/>
      <c r="J2277"/>
      <c r="K2277"/>
    </row>
    <row r="2278" spans="1:11" s="21" customFormat="1">
      <c r="A2278"/>
      <c r="B2278"/>
      <c r="F2278"/>
      <c r="G2278"/>
      <c r="H2278"/>
      <c r="I2278" s="97"/>
      <c r="J2278"/>
      <c r="K2278"/>
    </row>
    <row r="2279" spans="1:11" s="21" customFormat="1">
      <c r="A2279"/>
      <c r="B2279"/>
      <c r="F2279"/>
      <c r="G2279"/>
      <c r="H2279"/>
      <c r="I2279" s="97"/>
      <c r="J2279"/>
      <c r="K2279"/>
    </row>
    <row r="2280" spans="1:11" s="21" customFormat="1">
      <c r="A2280"/>
      <c r="B2280"/>
      <c r="F2280"/>
      <c r="G2280"/>
      <c r="H2280"/>
      <c r="I2280" s="97"/>
      <c r="J2280"/>
      <c r="K2280"/>
    </row>
    <row r="2281" spans="1:11" s="21" customFormat="1">
      <c r="A2281"/>
      <c r="B2281"/>
      <c r="F2281"/>
      <c r="G2281"/>
      <c r="H2281"/>
      <c r="I2281" s="97"/>
      <c r="J2281"/>
      <c r="K2281"/>
    </row>
    <row r="2282" spans="1:11" s="21" customFormat="1">
      <c r="A2282"/>
      <c r="B2282"/>
      <c r="F2282"/>
      <c r="G2282"/>
      <c r="H2282"/>
      <c r="I2282" s="97"/>
      <c r="J2282"/>
      <c r="K2282"/>
    </row>
    <row r="2283" spans="1:11" s="21" customFormat="1">
      <c r="A2283"/>
      <c r="B2283"/>
      <c r="F2283"/>
      <c r="G2283"/>
      <c r="H2283"/>
      <c r="I2283" s="97"/>
      <c r="J2283"/>
      <c r="K2283"/>
    </row>
    <row r="2284" spans="1:11" s="21" customFormat="1">
      <c r="A2284"/>
      <c r="B2284"/>
      <c r="F2284"/>
      <c r="G2284"/>
      <c r="H2284"/>
      <c r="I2284" s="97"/>
      <c r="J2284"/>
      <c r="K2284"/>
    </row>
    <row r="2285" spans="1:11" s="21" customFormat="1">
      <c r="A2285"/>
      <c r="B2285"/>
      <c r="F2285"/>
      <c r="G2285"/>
      <c r="H2285"/>
      <c r="I2285" s="97"/>
      <c r="J2285"/>
      <c r="K2285"/>
    </row>
    <row r="2286" spans="1:11" s="21" customFormat="1">
      <c r="A2286"/>
      <c r="B2286"/>
      <c r="F2286"/>
      <c r="G2286"/>
      <c r="H2286"/>
      <c r="I2286" s="97"/>
      <c r="J2286"/>
      <c r="K2286"/>
    </row>
    <row r="2287" spans="1:11" s="21" customFormat="1">
      <c r="A2287"/>
      <c r="B2287"/>
      <c r="F2287"/>
      <c r="G2287"/>
      <c r="H2287"/>
      <c r="I2287" s="97"/>
      <c r="J2287"/>
      <c r="K2287"/>
    </row>
    <row r="2288" spans="1:11" s="21" customFormat="1">
      <c r="A2288"/>
      <c r="B2288"/>
      <c r="F2288"/>
      <c r="G2288"/>
      <c r="H2288"/>
      <c r="I2288" s="97"/>
      <c r="J2288"/>
      <c r="K2288"/>
    </row>
    <row r="2289" spans="1:11" s="21" customFormat="1">
      <c r="A2289"/>
      <c r="B2289"/>
      <c r="F2289"/>
      <c r="G2289"/>
      <c r="H2289"/>
      <c r="I2289" s="97"/>
      <c r="J2289"/>
      <c r="K2289"/>
    </row>
    <row r="2290" spans="1:11" s="21" customFormat="1">
      <c r="A2290"/>
      <c r="B2290"/>
      <c r="F2290"/>
      <c r="G2290"/>
      <c r="H2290"/>
      <c r="I2290" s="97"/>
      <c r="J2290"/>
      <c r="K2290"/>
    </row>
    <row r="2291" spans="1:11" s="21" customFormat="1">
      <c r="A2291"/>
      <c r="B2291"/>
      <c r="F2291"/>
      <c r="G2291"/>
      <c r="H2291"/>
      <c r="I2291" s="97"/>
      <c r="J2291"/>
      <c r="K2291"/>
    </row>
    <row r="2292" spans="1:11" s="21" customFormat="1">
      <c r="A2292"/>
      <c r="B2292"/>
      <c r="F2292"/>
      <c r="G2292"/>
      <c r="H2292"/>
      <c r="I2292" s="97"/>
      <c r="J2292"/>
      <c r="K2292"/>
    </row>
    <row r="2293" spans="1:11" s="21" customFormat="1">
      <c r="A2293"/>
      <c r="B2293"/>
      <c r="F2293"/>
      <c r="G2293"/>
      <c r="H2293"/>
      <c r="I2293" s="97"/>
      <c r="J2293"/>
      <c r="K2293"/>
    </row>
    <row r="2294" spans="1:11" s="21" customFormat="1">
      <c r="A2294"/>
      <c r="B2294"/>
      <c r="F2294"/>
      <c r="G2294"/>
      <c r="H2294"/>
      <c r="I2294" s="97"/>
      <c r="J2294"/>
      <c r="K2294"/>
    </row>
    <row r="2295" spans="1:11" s="21" customFormat="1">
      <c r="A2295"/>
      <c r="B2295"/>
      <c r="F2295"/>
      <c r="G2295"/>
      <c r="H2295"/>
      <c r="I2295" s="97"/>
      <c r="J2295"/>
      <c r="K2295"/>
    </row>
    <row r="2296" spans="1:11" s="21" customFormat="1">
      <c r="A2296"/>
      <c r="B2296"/>
      <c r="F2296"/>
      <c r="G2296"/>
      <c r="H2296"/>
      <c r="I2296" s="97"/>
      <c r="J2296"/>
      <c r="K2296"/>
    </row>
    <row r="2297" spans="1:11" s="21" customFormat="1">
      <c r="A2297"/>
      <c r="B2297"/>
      <c r="F2297"/>
      <c r="G2297"/>
      <c r="H2297"/>
      <c r="I2297" s="97"/>
      <c r="J2297"/>
      <c r="K2297"/>
    </row>
    <row r="2298" spans="1:11" s="21" customFormat="1">
      <c r="A2298"/>
      <c r="B2298"/>
      <c r="F2298"/>
      <c r="G2298"/>
      <c r="H2298"/>
      <c r="I2298" s="97"/>
      <c r="J2298"/>
      <c r="K2298"/>
    </row>
    <row r="2299" spans="1:11" s="21" customFormat="1">
      <c r="A2299"/>
      <c r="B2299"/>
      <c r="F2299"/>
      <c r="G2299"/>
      <c r="H2299"/>
      <c r="I2299" s="97"/>
      <c r="J2299"/>
      <c r="K2299"/>
    </row>
    <row r="2300" spans="1:11" s="21" customFormat="1">
      <c r="A2300"/>
      <c r="B2300"/>
      <c r="F2300"/>
      <c r="G2300"/>
      <c r="H2300"/>
      <c r="I2300" s="97"/>
      <c r="J2300"/>
      <c r="K2300"/>
    </row>
    <row r="2301" spans="1:11" s="21" customFormat="1">
      <c r="A2301"/>
      <c r="B2301"/>
      <c r="F2301"/>
      <c r="G2301"/>
      <c r="H2301"/>
      <c r="I2301" s="97"/>
      <c r="J2301"/>
      <c r="K2301"/>
    </row>
    <row r="2302" spans="1:11" s="21" customFormat="1">
      <c r="A2302"/>
      <c r="B2302"/>
      <c r="F2302"/>
      <c r="G2302"/>
      <c r="H2302"/>
      <c r="I2302" s="97"/>
      <c r="J2302"/>
      <c r="K2302"/>
    </row>
    <row r="2303" spans="1:11" s="21" customFormat="1">
      <c r="A2303"/>
      <c r="B2303"/>
      <c r="F2303"/>
      <c r="G2303"/>
      <c r="H2303"/>
      <c r="I2303" s="97"/>
      <c r="J2303"/>
      <c r="K2303"/>
    </row>
    <row r="2304" spans="1:11" s="21" customFormat="1">
      <c r="A2304"/>
      <c r="B2304"/>
      <c r="F2304"/>
      <c r="G2304"/>
      <c r="H2304"/>
      <c r="I2304" s="97"/>
      <c r="J2304"/>
      <c r="K2304"/>
    </row>
    <row r="2305" spans="1:11" s="21" customFormat="1">
      <c r="A2305"/>
      <c r="B2305"/>
      <c r="F2305"/>
      <c r="G2305"/>
      <c r="H2305"/>
      <c r="I2305" s="97"/>
      <c r="J2305"/>
      <c r="K2305"/>
    </row>
    <row r="2306" spans="1:11" s="21" customFormat="1">
      <c r="A2306"/>
      <c r="B2306"/>
      <c r="F2306"/>
      <c r="G2306"/>
      <c r="H2306"/>
      <c r="I2306" s="97"/>
      <c r="J2306"/>
      <c r="K2306"/>
    </row>
    <row r="2307" spans="1:11" s="21" customFormat="1">
      <c r="A2307"/>
      <c r="B2307"/>
      <c r="F2307"/>
      <c r="G2307"/>
      <c r="H2307"/>
      <c r="I2307" s="97"/>
      <c r="J2307"/>
      <c r="K2307"/>
    </row>
    <row r="2308" spans="1:11" s="21" customFormat="1">
      <c r="A2308"/>
      <c r="B2308"/>
      <c r="F2308"/>
      <c r="G2308"/>
      <c r="H2308"/>
      <c r="I2308" s="97"/>
      <c r="J2308"/>
      <c r="K2308"/>
    </row>
    <row r="2309" spans="1:11" s="21" customFormat="1">
      <c r="A2309"/>
      <c r="B2309"/>
      <c r="F2309"/>
      <c r="G2309"/>
      <c r="H2309"/>
      <c r="I2309" s="97"/>
      <c r="J2309"/>
      <c r="K2309"/>
    </row>
    <row r="2310" spans="1:11" s="21" customFormat="1">
      <c r="A2310"/>
      <c r="B2310"/>
      <c r="F2310"/>
      <c r="G2310"/>
      <c r="H2310"/>
      <c r="I2310" s="97"/>
      <c r="J2310"/>
      <c r="K2310"/>
    </row>
    <row r="2311" spans="1:11" s="21" customFormat="1">
      <c r="A2311"/>
      <c r="B2311"/>
      <c r="F2311"/>
      <c r="G2311"/>
      <c r="H2311"/>
      <c r="I2311" s="97"/>
      <c r="J2311"/>
      <c r="K2311"/>
    </row>
    <row r="2312" spans="1:11" s="21" customFormat="1">
      <c r="A2312"/>
      <c r="B2312"/>
      <c r="F2312"/>
      <c r="G2312"/>
      <c r="H2312"/>
      <c r="I2312" s="97"/>
      <c r="J2312"/>
      <c r="K2312"/>
    </row>
    <row r="2313" spans="1:11" s="21" customFormat="1">
      <c r="A2313"/>
      <c r="B2313"/>
      <c r="F2313"/>
      <c r="G2313"/>
      <c r="H2313"/>
      <c r="I2313" s="97"/>
      <c r="J2313"/>
      <c r="K2313"/>
    </row>
    <row r="2314" spans="1:11" s="21" customFormat="1">
      <c r="A2314"/>
      <c r="B2314"/>
      <c r="F2314"/>
      <c r="G2314"/>
      <c r="H2314"/>
      <c r="I2314" s="97"/>
      <c r="J2314"/>
      <c r="K2314"/>
    </row>
    <row r="2315" spans="1:11" s="21" customFormat="1">
      <c r="A2315"/>
      <c r="B2315"/>
      <c r="F2315"/>
      <c r="G2315"/>
      <c r="H2315"/>
      <c r="I2315" s="97"/>
      <c r="J2315"/>
      <c r="K2315"/>
    </row>
    <row r="2316" spans="1:11" s="21" customFormat="1">
      <c r="A2316"/>
      <c r="B2316"/>
      <c r="F2316"/>
      <c r="G2316"/>
      <c r="H2316"/>
      <c r="I2316" s="97"/>
      <c r="J2316"/>
      <c r="K2316"/>
    </row>
    <row r="2317" spans="1:11" s="21" customFormat="1">
      <c r="A2317"/>
      <c r="B2317"/>
      <c r="F2317"/>
      <c r="G2317"/>
      <c r="H2317"/>
      <c r="I2317" s="97"/>
      <c r="J2317"/>
      <c r="K2317"/>
    </row>
    <row r="2318" spans="1:11" s="21" customFormat="1">
      <c r="A2318"/>
      <c r="B2318"/>
      <c r="F2318"/>
      <c r="G2318"/>
      <c r="H2318"/>
      <c r="I2318" s="97"/>
      <c r="J2318"/>
      <c r="K2318"/>
    </row>
    <row r="2319" spans="1:11" s="21" customFormat="1">
      <c r="A2319"/>
      <c r="B2319"/>
      <c r="F2319"/>
      <c r="G2319"/>
      <c r="H2319"/>
      <c r="I2319" s="97"/>
      <c r="J2319"/>
      <c r="K2319"/>
    </row>
    <row r="2320" spans="1:11" s="21" customFormat="1">
      <c r="A2320"/>
      <c r="B2320"/>
      <c r="F2320"/>
      <c r="G2320"/>
      <c r="H2320"/>
      <c r="I2320" s="97"/>
      <c r="J2320"/>
      <c r="K2320"/>
    </row>
    <row r="2321" spans="1:11" s="21" customFormat="1">
      <c r="A2321"/>
      <c r="B2321"/>
      <c r="F2321"/>
      <c r="G2321"/>
      <c r="H2321"/>
      <c r="I2321" s="97"/>
      <c r="J2321"/>
      <c r="K2321"/>
    </row>
    <row r="2322" spans="1:11" s="21" customFormat="1">
      <c r="A2322"/>
      <c r="B2322"/>
      <c r="F2322"/>
      <c r="G2322"/>
      <c r="H2322"/>
      <c r="I2322" s="97"/>
      <c r="J2322"/>
      <c r="K2322"/>
    </row>
    <row r="2323" spans="1:11" s="21" customFormat="1">
      <c r="A2323"/>
      <c r="B2323"/>
      <c r="F2323"/>
      <c r="G2323"/>
      <c r="H2323"/>
      <c r="I2323" s="97"/>
      <c r="J2323"/>
      <c r="K2323"/>
    </row>
    <row r="2324" spans="1:11" s="21" customFormat="1">
      <c r="A2324"/>
      <c r="B2324"/>
      <c r="F2324"/>
      <c r="G2324"/>
      <c r="H2324"/>
      <c r="I2324" s="97"/>
      <c r="J2324"/>
      <c r="K2324"/>
    </row>
    <row r="2325" spans="1:11" s="21" customFormat="1">
      <c r="A2325"/>
      <c r="B2325"/>
      <c r="F2325"/>
      <c r="G2325"/>
      <c r="H2325"/>
      <c r="I2325" s="97"/>
      <c r="J2325"/>
      <c r="K2325"/>
    </row>
    <row r="2326" spans="1:11" s="21" customFormat="1">
      <c r="A2326"/>
      <c r="B2326"/>
      <c r="F2326"/>
      <c r="G2326"/>
      <c r="H2326"/>
      <c r="I2326" s="97"/>
      <c r="J2326"/>
      <c r="K2326"/>
    </row>
    <row r="2327" spans="1:11" s="21" customFormat="1">
      <c r="A2327"/>
      <c r="B2327"/>
      <c r="F2327"/>
      <c r="G2327"/>
      <c r="H2327"/>
      <c r="I2327" s="97"/>
      <c r="J2327"/>
      <c r="K2327"/>
    </row>
    <row r="2328" spans="1:11" s="21" customFormat="1">
      <c r="A2328"/>
      <c r="B2328"/>
      <c r="F2328"/>
      <c r="G2328"/>
      <c r="H2328"/>
      <c r="I2328" s="97"/>
      <c r="J2328"/>
      <c r="K2328"/>
    </row>
    <row r="2329" spans="1:11" s="21" customFormat="1">
      <c r="A2329"/>
      <c r="B2329"/>
      <c r="F2329"/>
      <c r="G2329"/>
      <c r="H2329"/>
      <c r="I2329" s="97"/>
      <c r="J2329"/>
      <c r="K2329"/>
    </row>
    <row r="2330" spans="1:11" s="21" customFormat="1">
      <c r="A2330"/>
      <c r="B2330"/>
      <c r="F2330"/>
      <c r="G2330"/>
      <c r="H2330"/>
      <c r="I2330" s="97"/>
      <c r="J2330"/>
      <c r="K2330"/>
    </row>
    <row r="2331" spans="1:11" s="21" customFormat="1">
      <c r="A2331"/>
      <c r="B2331"/>
      <c r="F2331"/>
      <c r="G2331"/>
      <c r="H2331"/>
      <c r="I2331" s="97"/>
      <c r="J2331"/>
      <c r="K2331"/>
    </row>
    <row r="2332" spans="1:11" s="21" customFormat="1">
      <c r="A2332"/>
      <c r="B2332"/>
      <c r="F2332"/>
      <c r="G2332"/>
      <c r="H2332"/>
      <c r="I2332" s="97"/>
      <c r="J2332"/>
      <c r="K2332"/>
    </row>
    <row r="2333" spans="1:11" s="21" customFormat="1">
      <c r="A2333"/>
      <c r="B2333"/>
      <c r="F2333"/>
      <c r="G2333"/>
      <c r="H2333"/>
      <c r="I2333" s="97"/>
      <c r="J2333"/>
      <c r="K2333"/>
    </row>
    <row r="2334" spans="1:11" s="21" customFormat="1">
      <c r="A2334"/>
      <c r="B2334"/>
      <c r="F2334"/>
      <c r="G2334"/>
      <c r="H2334"/>
      <c r="I2334" s="97"/>
      <c r="J2334"/>
      <c r="K2334"/>
    </row>
    <row r="2335" spans="1:11" s="21" customFormat="1">
      <c r="A2335"/>
      <c r="B2335"/>
      <c r="F2335"/>
      <c r="G2335"/>
      <c r="H2335"/>
      <c r="I2335" s="97"/>
      <c r="J2335"/>
      <c r="K2335"/>
    </row>
    <row r="2336" spans="1:11" s="21" customFormat="1">
      <c r="A2336"/>
      <c r="B2336"/>
      <c r="F2336"/>
      <c r="G2336"/>
      <c r="H2336"/>
      <c r="I2336" s="97"/>
      <c r="J2336"/>
      <c r="K2336"/>
    </row>
    <row r="2337" spans="1:11" s="21" customFormat="1">
      <c r="A2337"/>
      <c r="B2337"/>
      <c r="F2337"/>
      <c r="G2337"/>
      <c r="H2337"/>
      <c r="I2337" s="97"/>
      <c r="J2337"/>
      <c r="K2337"/>
    </row>
    <row r="2338" spans="1:11" s="21" customFormat="1">
      <c r="A2338"/>
      <c r="B2338"/>
      <c r="F2338"/>
      <c r="G2338"/>
      <c r="H2338"/>
      <c r="I2338" s="97"/>
      <c r="J2338"/>
      <c r="K2338"/>
    </row>
    <row r="2339" spans="1:11" s="21" customFormat="1">
      <c r="A2339"/>
      <c r="B2339"/>
      <c r="F2339"/>
      <c r="G2339"/>
      <c r="H2339"/>
      <c r="I2339" s="97"/>
      <c r="J2339"/>
      <c r="K2339"/>
    </row>
    <row r="2340" spans="1:11" s="21" customFormat="1">
      <c r="A2340"/>
      <c r="B2340"/>
      <c r="F2340"/>
      <c r="G2340"/>
      <c r="H2340"/>
      <c r="I2340" s="97"/>
      <c r="J2340"/>
      <c r="K2340"/>
    </row>
    <row r="2341" spans="1:11" s="21" customFormat="1">
      <c r="A2341"/>
      <c r="B2341"/>
      <c r="F2341"/>
      <c r="G2341"/>
      <c r="H2341"/>
      <c r="I2341" s="97"/>
      <c r="J2341"/>
      <c r="K2341"/>
    </row>
    <row r="2342" spans="1:11" s="21" customFormat="1">
      <c r="A2342"/>
      <c r="B2342"/>
      <c r="F2342"/>
      <c r="G2342"/>
      <c r="H2342"/>
      <c r="I2342" s="97"/>
      <c r="J2342"/>
      <c r="K2342"/>
    </row>
    <row r="2343" spans="1:11" s="21" customFormat="1">
      <c r="A2343"/>
      <c r="B2343"/>
      <c r="F2343"/>
      <c r="G2343"/>
      <c r="H2343"/>
      <c r="I2343" s="97"/>
      <c r="J2343"/>
      <c r="K2343"/>
    </row>
    <row r="2344" spans="1:11" s="21" customFormat="1">
      <c r="A2344"/>
      <c r="B2344"/>
      <c r="F2344"/>
      <c r="G2344"/>
      <c r="H2344"/>
      <c r="I2344" s="97"/>
      <c r="J2344"/>
      <c r="K2344"/>
    </row>
    <row r="2345" spans="1:11" s="21" customFormat="1">
      <c r="A2345"/>
      <c r="B2345"/>
      <c r="F2345"/>
      <c r="G2345"/>
      <c r="H2345"/>
      <c r="I2345" s="97"/>
      <c r="J2345"/>
      <c r="K2345"/>
    </row>
    <row r="2346" spans="1:11" s="21" customFormat="1">
      <c r="A2346"/>
      <c r="B2346"/>
      <c r="F2346"/>
      <c r="G2346"/>
      <c r="H2346"/>
      <c r="I2346" s="97"/>
      <c r="J2346"/>
      <c r="K2346"/>
    </row>
    <row r="2347" spans="1:11" s="21" customFormat="1">
      <c r="A2347"/>
      <c r="B2347"/>
      <c r="F2347"/>
      <c r="G2347"/>
      <c r="H2347"/>
      <c r="I2347" s="97"/>
      <c r="J2347"/>
      <c r="K2347"/>
    </row>
    <row r="2348" spans="1:11" s="21" customFormat="1">
      <c r="A2348"/>
      <c r="B2348"/>
      <c r="F2348"/>
      <c r="G2348"/>
      <c r="H2348"/>
      <c r="I2348" s="97"/>
      <c r="J2348"/>
      <c r="K2348"/>
    </row>
    <row r="2349" spans="1:11" s="21" customFormat="1">
      <c r="A2349"/>
      <c r="B2349"/>
      <c r="F2349"/>
      <c r="G2349"/>
      <c r="H2349"/>
      <c r="I2349" s="97"/>
      <c r="J2349"/>
      <c r="K2349"/>
    </row>
    <row r="2350" spans="1:11" s="21" customFormat="1">
      <c r="A2350"/>
      <c r="B2350"/>
      <c r="F2350"/>
      <c r="G2350"/>
      <c r="H2350"/>
      <c r="I2350" s="97"/>
      <c r="J2350"/>
      <c r="K2350"/>
    </row>
    <row r="2351" spans="1:11" s="21" customFormat="1">
      <c r="A2351"/>
      <c r="B2351"/>
      <c r="F2351"/>
      <c r="G2351"/>
      <c r="H2351"/>
      <c r="I2351" s="97"/>
      <c r="J2351"/>
      <c r="K2351"/>
    </row>
    <row r="2352" spans="1:11" s="21" customFormat="1">
      <c r="A2352"/>
      <c r="B2352"/>
      <c r="F2352"/>
      <c r="G2352"/>
      <c r="H2352"/>
      <c r="I2352" s="97"/>
      <c r="J2352"/>
      <c r="K2352"/>
    </row>
    <row r="2353" spans="1:11" s="21" customFormat="1">
      <c r="A2353"/>
      <c r="B2353"/>
      <c r="F2353"/>
      <c r="G2353"/>
      <c r="H2353"/>
      <c r="I2353" s="97"/>
      <c r="J2353"/>
      <c r="K2353"/>
    </row>
    <row r="2354" spans="1:11" s="21" customFormat="1">
      <c r="A2354"/>
      <c r="B2354"/>
      <c r="F2354"/>
      <c r="G2354"/>
      <c r="H2354"/>
      <c r="I2354" s="97"/>
      <c r="J2354"/>
      <c r="K2354"/>
    </row>
    <row r="2355" spans="1:11" s="21" customFormat="1">
      <c r="A2355"/>
      <c r="B2355"/>
      <c r="F2355"/>
      <c r="G2355"/>
      <c r="H2355"/>
      <c r="I2355" s="97"/>
      <c r="J2355"/>
      <c r="K2355"/>
    </row>
    <row r="2356" spans="1:11" s="21" customFormat="1">
      <c r="A2356"/>
      <c r="B2356"/>
      <c r="F2356"/>
      <c r="G2356"/>
      <c r="H2356"/>
      <c r="I2356" s="97"/>
      <c r="J2356"/>
      <c r="K2356"/>
    </row>
    <row r="2357" spans="1:11" s="21" customFormat="1">
      <c r="A2357"/>
      <c r="B2357"/>
      <c r="F2357"/>
      <c r="G2357"/>
      <c r="H2357"/>
      <c r="I2357" s="97"/>
      <c r="J2357"/>
      <c r="K2357"/>
    </row>
    <row r="2358" spans="1:11" s="21" customFormat="1">
      <c r="A2358"/>
      <c r="B2358"/>
      <c r="F2358"/>
      <c r="G2358"/>
      <c r="H2358"/>
      <c r="I2358" s="97"/>
      <c r="J2358"/>
      <c r="K2358"/>
    </row>
    <row r="2359" spans="1:11" s="21" customFormat="1">
      <c r="A2359"/>
      <c r="B2359"/>
      <c r="F2359"/>
      <c r="G2359"/>
      <c r="H2359"/>
      <c r="I2359" s="97"/>
      <c r="J2359"/>
      <c r="K2359"/>
    </row>
    <row r="2360" spans="1:11" s="21" customFormat="1">
      <c r="A2360"/>
      <c r="B2360"/>
      <c r="F2360"/>
      <c r="G2360"/>
      <c r="H2360"/>
      <c r="I2360" s="97"/>
      <c r="J2360"/>
      <c r="K2360"/>
    </row>
    <row r="2361" spans="1:11" s="21" customFormat="1">
      <c r="A2361"/>
      <c r="B2361"/>
      <c r="F2361"/>
      <c r="G2361"/>
      <c r="H2361"/>
      <c r="I2361" s="97"/>
      <c r="J2361"/>
      <c r="K2361"/>
    </row>
    <row r="2362" spans="1:11" s="21" customFormat="1">
      <c r="A2362"/>
      <c r="B2362"/>
      <c r="F2362"/>
      <c r="G2362"/>
      <c r="H2362"/>
      <c r="I2362" s="97"/>
      <c r="J2362"/>
      <c r="K2362"/>
    </row>
    <row r="2363" spans="1:11" s="21" customFormat="1">
      <c r="A2363"/>
      <c r="B2363"/>
      <c r="F2363"/>
      <c r="G2363"/>
      <c r="H2363"/>
      <c r="I2363" s="97"/>
      <c r="J2363"/>
      <c r="K2363"/>
    </row>
    <row r="2364" spans="1:11" s="21" customFormat="1">
      <c r="A2364"/>
      <c r="B2364"/>
      <c r="F2364"/>
      <c r="G2364"/>
      <c r="H2364"/>
      <c r="I2364" s="97"/>
      <c r="J2364"/>
      <c r="K2364"/>
    </row>
    <row r="2365" spans="1:11" s="21" customFormat="1">
      <c r="A2365"/>
      <c r="B2365"/>
      <c r="F2365"/>
      <c r="G2365"/>
      <c r="H2365"/>
      <c r="I2365" s="97"/>
      <c r="J2365"/>
      <c r="K2365"/>
    </row>
    <row r="2366" spans="1:11" s="21" customFormat="1">
      <c r="A2366"/>
      <c r="B2366"/>
      <c r="F2366"/>
      <c r="G2366"/>
      <c r="H2366"/>
      <c r="I2366" s="97"/>
      <c r="J2366"/>
      <c r="K2366"/>
    </row>
    <row r="2367" spans="1:11" s="21" customFormat="1">
      <c r="A2367"/>
      <c r="B2367"/>
      <c r="F2367"/>
      <c r="G2367"/>
      <c r="H2367"/>
      <c r="I2367" s="97"/>
      <c r="J2367"/>
      <c r="K2367"/>
    </row>
    <row r="2368" spans="1:11" s="21" customFormat="1">
      <c r="A2368"/>
      <c r="B2368"/>
      <c r="F2368"/>
      <c r="G2368"/>
      <c r="H2368"/>
      <c r="I2368" s="97"/>
      <c r="J2368"/>
      <c r="K2368"/>
    </row>
    <row r="2369" spans="1:11" s="21" customFormat="1">
      <c r="A2369"/>
      <c r="B2369"/>
      <c r="F2369"/>
      <c r="G2369"/>
      <c r="H2369"/>
      <c r="I2369" s="97"/>
      <c r="J2369"/>
      <c r="K2369"/>
    </row>
    <row r="2370" spans="1:11" s="21" customFormat="1">
      <c r="A2370"/>
      <c r="B2370"/>
      <c r="F2370"/>
      <c r="G2370"/>
      <c r="H2370"/>
      <c r="I2370" s="97"/>
      <c r="J2370"/>
      <c r="K2370"/>
    </row>
    <row r="2371" spans="1:11" s="21" customFormat="1">
      <c r="A2371"/>
      <c r="B2371"/>
      <c r="F2371"/>
      <c r="G2371"/>
      <c r="H2371"/>
      <c r="I2371" s="97"/>
      <c r="J2371"/>
      <c r="K2371"/>
    </row>
    <row r="2372" spans="1:11" s="21" customFormat="1">
      <c r="A2372"/>
      <c r="B2372"/>
      <c r="F2372"/>
      <c r="G2372"/>
      <c r="H2372"/>
      <c r="I2372" s="97"/>
      <c r="J2372"/>
      <c r="K2372"/>
    </row>
    <row r="2373" spans="1:11" s="21" customFormat="1">
      <c r="A2373"/>
      <c r="B2373"/>
      <c r="F2373"/>
      <c r="G2373"/>
      <c r="H2373"/>
      <c r="I2373" s="97"/>
      <c r="J2373"/>
      <c r="K2373"/>
    </row>
    <row r="2374" spans="1:11" s="21" customFormat="1">
      <c r="A2374"/>
      <c r="B2374"/>
      <c r="F2374"/>
      <c r="G2374"/>
      <c r="H2374"/>
      <c r="I2374" s="97"/>
      <c r="J2374"/>
      <c r="K2374"/>
    </row>
    <row r="2375" spans="1:11" s="21" customFormat="1">
      <c r="A2375"/>
      <c r="B2375"/>
      <c r="F2375"/>
      <c r="G2375"/>
      <c r="H2375"/>
      <c r="I2375" s="97"/>
      <c r="J2375"/>
      <c r="K2375"/>
    </row>
    <row r="2376" spans="1:11" s="21" customFormat="1">
      <c r="A2376"/>
      <c r="B2376"/>
      <c r="F2376"/>
      <c r="G2376"/>
      <c r="H2376"/>
      <c r="I2376" s="97"/>
      <c r="J2376"/>
      <c r="K2376"/>
    </row>
    <row r="2377" spans="1:11" s="21" customFormat="1">
      <c r="A2377"/>
      <c r="B2377"/>
      <c r="F2377"/>
      <c r="G2377"/>
      <c r="H2377"/>
      <c r="I2377" s="97"/>
      <c r="J2377"/>
      <c r="K2377"/>
    </row>
    <row r="2378" spans="1:11" s="21" customFormat="1">
      <c r="A2378"/>
      <c r="B2378"/>
      <c r="F2378"/>
      <c r="G2378"/>
      <c r="H2378"/>
      <c r="I2378" s="97"/>
      <c r="J2378"/>
      <c r="K2378"/>
    </row>
    <row r="2379" spans="1:11" s="21" customFormat="1">
      <c r="A2379"/>
      <c r="B2379"/>
      <c r="F2379"/>
      <c r="G2379"/>
      <c r="H2379"/>
      <c r="I2379" s="97"/>
      <c r="J2379"/>
      <c r="K2379"/>
    </row>
    <row r="2380" spans="1:11" s="21" customFormat="1">
      <c r="A2380"/>
      <c r="B2380"/>
      <c r="F2380"/>
      <c r="G2380"/>
      <c r="H2380"/>
      <c r="I2380" s="97"/>
      <c r="J2380"/>
      <c r="K2380"/>
    </row>
    <row r="2381" spans="1:11" s="21" customFormat="1">
      <c r="A2381"/>
      <c r="B2381"/>
      <c r="F2381"/>
      <c r="G2381"/>
      <c r="H2381"/>
      <c r="I2381" s="97"/>
      <c r="J2381"/>
      <c r="K2381"/>
    </row>
    <row r="2382" spans="1:11" s="21" customFormat="1">
      <c r="A2382"/>
      <c r="B2382"/>
      <c r="F2382"/>
      <c r="G2382"/>
      <c r="H2382"/>
      <c r="I2382" s="97"/>
      <c r="J2382"/>
      <c r="K2382"/>
    </row>
    <row r="2383" spans="1:11" s="21" customFormat="1">
      <c r="A2383"/>
      <c r="B2383"/>
      <c r="F2383"/>
      <c r="G2383"/>
      <c r="H2383"/>
      <c r="I2383" s="97"/>
      <c r="J2383"/>
      <c r="K2383"/>
    </row>
    <row r="2384" spans="1:11" s="21" customFormat="1">
      <c r="A2384"/>
      <c r="B2384"/>
      <c r="F2384"/>
      <c r="G2384"/>
      <c r="H2384"/>
      <c r="I2384" s="97"/>
      <c r="J2384"/>
      <c r="K2384"/>
    </row>
    <row r="2385" spans="1:11" s="21" customFormat="1">
      <c r="A2385"/>
      <c r="B2385"/>
      <c r="F2385"/>
      <c r="G2385"/>
      <c r="H2385"/>
      <c r="I2385" s="97"/>
      <c r="J2385"/>
      <c r="K2385"/>
    </row>
    <row r="2386" spans="1:11" s="21" customFormat="1">
      <c r="A2386"/>
      <c r="B2386"/>
      <c r="F2386"/>
      <c r="G2386"/>
      <c r="H2386"/>
      <c r="I2386" s="97"/>
      <c r="J2386"/>
      <c r="K2386"/>
    </row>
    <row r="2387" spans="1:11" s="21" customFormat="1">
      <c r="A2387"/>
      <c r="B2387"/>
      <c r="F2387"/>
      <c r="G2387"/>
      <c r="H2387"/>
      <c r="I2387" s="97"/>
      <c r="J2387"/>
      <c r="K2387"/>
    </row>
    <row r="2388" spans="1:11" s="21" customFormat="1">
      <c r="A2388"/>
      <c r="B2388"/>
      <c r="F2388"/>
      <c r="G2388"/>
      <c r="H2388"/>
      <c r="I2388" s="97"/>
      <c r="J2388"/>
      <c r="K2388"/>
    </row>
    <row r="2389" spans="1:11" s="21" customFormat="1">
      <c r="A2389"/>
      <c r="B2389"/>
      <c r="F2389"/>
      <c r="G2389"/>
      <c r="H2389"/>
      <c r="I2389" s="97"/>
      <c r="J2389"/>
      <c r="K2389"/>
    </row>
    <row r="2390" spans="1:11" s="21" customFormat="1">
      <c r="A2390"/>
      <c r="B2390"/>
      <c r="F2390"/>
      <c r="G2390"/>
      <c r="H2390"/>
      <c r="I2390" s="97"/>
      <c r="J2390"/>
      <c r="K2390"/>
    </row>
    <row r="2391" spans="1:11" s="21" customFormat="1">
      <c r="A2391"/>
      <c r="B2391"/>
      <c r="F2391"/>
      <c r="G2391"/>
      <c r="H2391"/>
      <c r="I2391" s="97"/>
      <c r="J2391"/>
      <c r="K2391"/>
    </row>
    <row r="2392" spans="1:11" s="21" customFormat="1">
      <c r="A2392"/>
      <c r="B2392"/>
      <c r="F2392"/>
      <c r="G2392"/>
      <c r="H2392"/>
      <c r="I2392" s="97"/>
      <c r="J2392"/>
      <c r="K2392"/>
    </row>
    <row r="2393" spans="1:11" s="21" customFormat="1">
      <c r="A2393"/>
      <c r="B2393"/>
      <c r="F2393"/>
      <c r="G2393"/>
      <c r="H2393"/>
      <c r="I2393" s="97"/>
      <c r="J2393"/>
      <c r="K2393"/>
    </row>
    <row r="2394" spans="1:11" s="21" customFormat="1">
      <c r="A2394"/>
      <c r="B2394"/>
      <c r="F2394"/>
      <c r="G2394"/>
      <c r="H2394"/>
      <c r="I2394" s="97"/>
      <c r="J2394"/>
      <c r="K2394"/>
    </row>
    <row r="2395" spans="1:11" s="21" customFormat="1">
      <c r="A2395"/>
      <c r="B2395"/>
      <c r="F2395"/>
      <c r="G2395"/>
      <c r="H2395"/>
      <c r="I2395" s="97"/>
      <c r="J2395"/>
      <c r="K2395"/>
    </row>
    <row r="2396" spans="1:11" s="21" customFormat="1">
      <c r="A2396"/>
      <c r="B2396"/>
      <c r="F2396"/>
      <c r="G2396"/>
      <c r="H2396"/>
      <c r="I2396" s="97"/>
      <c r="J2396"/>
      <c r="K2396"/>
    </row>
    <row r="2397" spans="1:11" s="21" customFormat="1">
      <c r="A2397"/>
      <c r="B2397"/>
      <c r="F2397"/>
      <c r="G2397"/>
      <c r="H2397"/>
      <c r="I2397" s="97"/>
      <c r="J2397"/>
      <c r="K2397"/>
    </row>
    <row r="2398" spans="1:11" s="21" customFormat="1">
      <c r="A2398"/>
      <c r="B2398"/>
      <c r="F2398"/>
      <c r="G2398"/>
      <c r="H2398"/>
      <c r="I2398" s="97"/>
      <c r="J2398"/>
      <c r="K2398"/>
    </row>
    <row r="2399" spans="1:11" s="21" customFormat="1">
      <c r="A2399"/>
      <c r="B2399"/>
      <c r="F2399"/>
      <c r="G2399"/>
      <c r="H2399"/>
      <c r="I2399" s="97"/>
      <c r="J2399"/>
      <c r="K2399"/>
    </row>
    <row r="2400" spans="1:11" s="21" customFormat="1">
      <c r="A2400"/>
      <c r="B2400"/>
      <c r="F2400"/>
      <c r="G2400"/>
      <c r="H2400"/>
      <c r="I2400" s="97"/>
      <c r="J2400"/>
      <c r="K2400"/>
    </row>
    <row r="2401" spans="1:11" s="21" customFormat="1">
      <c r="A2401"/>
      <c r="B2401"/>
      <c r="F2401"/>
      <c r="G2401"/>
      <c r="H2401"/>
      <c r="I2401" s="97"/>
      <c r="J2401"/>
      <c r="K2401"/>
    </row>
    <row r="2402" spans="1:11" s="21" customFormat="1">
      <c r="A2402"/>
      <c r="B2402"/>
      <c r="F2402"/>
      <c r="G2402"/>
      <c r="H2402"/>
      <c r="I2402" s="97"/>
      <c r="J2402"/>
      <c r="K2402"/>
    </row>
    <row r="2403" spans="1:11" s="21" customFormat="1">
      <c r="A2403"/>
      <c r="B2403"/>
      <c r="F2403"/>
      <c r="G2403"/>
      <c r="H2403"/>
      <c r="I2403" s="97"/>
      <c r="J2403"/>
      <c r="K2403"/>
    </row>
    <row r="2404" spans="1:11" s="21" customFormat="1">
      <c r="A2404"/>
      <c r="B2404"/>
      <c r="F2404"/>
      <c r="G2404"/>
      <c r="H2404"/>
      <c r="I2404" s="97"/>
      <c r="J2404"/>
      <c r="K2404"/>
    </row>
    <row r="2405" spans="1:11" s="21" customFormat="1">
      <c r="A2405"/>
      <c r="B2405"/>
      <c r="F2405"/>
      <c r="G2405"/>
      <c r="H2405"/>
      <c r="I2405" s="97"/>
      <c r="J2405"/>
      <c r="K2405"/>
    </row>
    <row r="2406" spans="1:11" s="21" customFormat="1">
      <c r="A2406"/>
      <c r="B2406"/>
      <c r="F2406"/>
      <c r="G2406"/>
      <c r="H2406"/>
      <c r="I2406" s="97"/>
      <c r="J2406"/>
      <c r="K2406"/>
    </row>
    <row r="2407" spans="1:11" s="21" customFormat="1">
      <c r="A2407"/>
      <c r="B2407"/>
      <c r="F2407"/>
      <c r="G2407"/>
      <c r="H2407"/>
      <c r="I2407" s="97"/>
      <c r="J2407"/>
      <c r="K2407"/>
    </row>
    <row r="2408" spans="1:11" s="21" customFormat="1">
      <c r="A2408"/>
      <c r="B2408"/>
      <c r="F2408"/>
      <c r="G2408"/>
      <c r="H2408"/>
      <c r="I2408" s="97"/>
      <c r="J2408"/>
      <c r="K2408"/>
    </row>
    <row r="2409" spans="1:11" s="21" customFormat="1">
      <c r="A2409"/>
      <c r="B2409"/>
      <c r="F2409"/>
      <c r="G2409"/>
      <c r="H2409"/>
      <c r="I2409" s="97"/>
      <c r="J2409"/>
      <c r="K2409"/>
    </row>
    <row r="2410" spans="1:11" s="21" customFormat="1">
      <c r="A2410"/>
      <c r="B2410"/>
      <c r="F2410"/>
      <c r="G2410"/>
      <c r="H2410"/>
      <c r="I2410" s="97"/>
      <c r="J2410"/>
      <c r="K2410"/>
    </row>
    <row r="2411" spans="1:11" s="21" customFormat="1">
      <c r="A2411"/>
      <c r="B2411"/>
      <c r="F2411"/>
      <c r="G2411"/>
      <c r="H2411"/>
      <c r="I2411" s="97"/>
      <c r="J2411"/>
      <c r="K2411"/>
    </row>
    <row r="2412" spans="1:11" s="21" customFormat="1">
      <c r="A2412"/>
      <c r="B2412"/>
      <c r="F2412"/>
      <c r="G2412"/>
      <c r="H2412"/>
      <c r="I2412" s="97"/>
      <c r="J2412"/>
      <c r="K2412"/>
    </row>
    <row r="2413" spans="1:11" s="21" customFormat="1">
      <c r="A2413"/>
      <c r="B2413"/>
      <c r="F2413"/>
      <c r="G2413"/>
      <c r="H2413"/>
      <c r="I2413" s="97"/>
      <c r="J2413"/>
      <c r="K2413"/>
    </row>
    <row r="2414" spans="1:11" s="21" customFormat="1">
      <c r="A2414"/>
      <c r="B2414"/>
      <c r="F2414"/>
      <c r="G2414"/>
      <c r="H2414"/>
      <c r="I2414" s="97"/>
      <c r="J2414"/>
      <c r="K2414"/>
    </row>
    <row r="2415" spans="1:11" s="21" customFormat="1">
      <c r="A2415"/>
      <c r="B2415"/>
      <c r="F2415"/>
      <c r="G2415"/>
      <c r="H2415"/>
      <c r="I2415" s="97"/>
      <c r="J2415"/>
      <c r="K2415"/>
    </row>
    <row r="2416" spans="1:11" s="21" customFormat="1">
      <c r="A2416"/>
      <c r="B2416"/>
      <c r="F2416"/>
      <c r="G2416"/>
      <c r="H2416"/>
      <c r="I2416" s="97"/>
      <c r="J2416"/>
      <c r="K2416"/>
    </row>
    <row r="2417" spans="1:11" s="21" customFormat="1">
      <c r="A2417"/>
      <c r="B2417"/>
      <c r="F2417"/>
      <c r="G2417"/>
      <c r="H2417"/>
      <c r="I2417" s="97"/>
      <c r="J2417"/>
      <c r="K2417"/>
    </row>
    <row r="2418" spans="1:11" s="21" customFormat="1">
      <c r="A2418"/>
      <c r="B2418"/>
      <c r="F2418"/>
      <c r="G2418"/>
      <c r="H2418"/>
      <c r="I2418" s="97"/>
      <c r="J2418"/>
      <c r="K2418"/>
    </row>
    <row r="2419" spans="1:11" s="21" customFormat="1">
      <c r="A2419"/>
      <c r="B2419"/>
      <c r="F2419"/>
      <c r="G2419"/>
      <c r="H2419"/>
      <c r="I2419" s="97"/>
      <c r="J2419"/>
      <c r="K2419"/>
    </row>
    <row r="2420" spans="1:11" s="21" customFormat="1">
      <c r="A2420"/>
      <c r="B2420"/>
      <c r="F2420"/>
      <c r="G2420"/>
      <c r="H2420"/>
      <c r="I2420" s="97"/>
      <c r="J2420"/>
      <c r="K2420"/>
    </row>
    <row r="2421" spans="1:11" s="21" customFormat="1">
      <c r="A2421"/>
      <c r="B2421"/>
      <c r="F2421"/>
      <c r="G2421"/>
      <c r="H2421"/>
      <c r="I2421" s="97"/>
      <c r="J2421"/>
      <c r="K2421"/>
    </row>
    <row r="2422" spans="1:11" s="21" customFormat="1">
      <c r="A2422"/>
      <c r="B2422"/>
      <c r="F2422"/>
      <c r="G2422"/>
      <c r="H2422"/>
      <c r="I2422" s="97"/>
      <c r="J2422"/>
      <c r="K2422"/>
    </row>
    <row r="2423" spans="1:11" s="21" customFormat="1">
      <c r="A2423"/>
      <c r="B2423"/>
      <c r="F2423"/>
      <c r="G2423"/>
      <c r="H2423"/>
      <c r="I2423" s="97"/>
      <c r="J2423"/>
      <c r="K2423"/>
    </row>
    <row r="2424" spans="1:11" s="21" customFormat="1">
      <c r="A2424"/>
      <c r="B2424"/>
      <c r="F2424"/>
      <c r="G2424"/>
      <c r="H2424"/>
      <c r="I2424" s="97"/>
      <c r="J2424"/>
      <c r="K2424"/>
    </row>
    <row r="2425" spans="1:11" s="21" customFormat="1">
      <c r="A2425"/>
      <c r="B2425"/>
      <c r="F2425"/>
      <c r="G2425"/>
      <c r="H2425"/>
      <c r="I2425" s="97"/>
      <c r="J2425"/>
      <c r="K2425"/>
    </row>
    <row r="2426" spans="1:11" s="21" customFormat="1">
      <c r="A2426"/>
      <c r="B2426"/>
      <c r="F2426"/>
      <c r="G2426"/>
      <c r="H2426"/>
      <c r="I2426" s="97"/>
      <c r="J2426"/>
      <c r="K2426"/>
    </row>
    <row r="2427" spans="1:11" s="21" customFormat="1">
      <c r="A2427"/>
      <c r="B2427"/>
      <c r="F2427"/>
      <c r="G2427"/>
      <c r="H2427"/>
      <c r="I2427" s="97"/>
      <c r="J2427"/>
      <c r="K2427"/>
    </row>
    <row r="2428" spans="1:11" s="21" customFormat="1">
      <c r="A2428"/>
      <c r="B2428"/>
      <c r="F2428"/>
      <c r="G2428"/>
      <c r="H2428"/>
      <c r="I2428" s="97"/>
      <c r="J2428"/>
      <c r="K2428"/>
    </row>
    <row r="2429" spans="1:11" s="21" customFormat="1">
      <c r="A2429"/>
      <c r="B2429"/>
      <c r="F2429"/>
      <c r="G2429"/>
      <c r="H2429"/>
      <c r="I2429" s="97"/>
      <c r="J2429"/>
      <c r="K2429"/>
    </row>
    <row r="2430" spans="1:11" s="21" customFormat="1">
      <c r="A2430"/>
      <c r="B2430"/>
      <c r="F2430"/>
      <c r="G2430"/>
      <c r="H2430"/>
      <c r="I2430" s="97"/>
      <c r="J2430"/>
      <c r="K2430"/>
    </row>
    <row r="2431" spans="1:11" s="21" customFormat="1">
      <c r="A2431"/>
      <c r="B2431"/>
      <c r="F2431"/>
      <c r="G2431"/>
      <c r="H2431"/>
      <c r="I2431" s="97"/>
      <c r="J2431"/>
      <c r="K2431"/>
    </row>
    <row r="2432" spans="1:11" s="21" customFormat="1">
      <c r="A2432"/>
      <c r="B2432"/>
      <c r="F2432"/>
      <c r="G2432"/>
      <c r="H2432"/>
      <c r="I2432" s="97"/>
      <c r="J2432"/>
      <c r="K2432"/>
    </row>
    <row r="2433" spans="1:11" s="21" customFormat="1">
      <c r="A2433"/>
      <c r="B2433"/>
      <c r="F2433"/>
      <c r="G2433"/>
      <c r="H2433"/>
      <c r="I2433" s="97"/>
      <c r="J2433"/>
      <c r="K2433"/>
    </row>
    <row r="2434" spans="1:11" s="21" customFormat="1">
      <c r="A2434"/>
      <c r="B2434"/>
      <c r="F2434"/>
      <c r="G2434"/>
      <c r="H2434"/>
      <c r="I2434" s="97"/>
      <c r="J2434"/>
      <c r="K2434"/>
    </row>
    <row r="2435" spans="1:11" s="21" customFormat="1">
      <c r="A2435"/>
      <c r="B2435"/>
      <c r="F2435"/>
      <c r="G2435"/>
      <c r="H2435"/>
      <c r="I2435" s="97"/>
      <c r="J2435"/>
      <c r="K2435"/>
    </row>
    <row r="2436" spans="1:11" s="21" customFormat="1">
      <c r="A2436"/>
      <c r="B2436"/>
      <c r="F2436"/>
      <c r="G2436"/>
      <c r="H2436"/>
      <c r="I2436" s="97"/>
      <c r="J2436"/>
      <c r="K2436"/>
    </row>
    <row r="2437" spans="1:11" s="21" customFormat="1">
      <c r="A2437"/>
      <c r="B2437"/>
      <c r="F2437"/>
      <c r="G2437"/>
      <c r="H2437"/>
      <c r="I2437" s="97"/>
      <c r="J2437"/>
      <c r="K2437"/>
    </row>
    <row r="2438" spans="1:11" s="21" customFormat="1">
      <c r="A2438"/>
      <c r="B2438"/>
      <c r="F2438"/>
      <c r="G2438"/>
      <c r="H2438"/>
      <c r="I2438" s="97"/>
      <c r="J2438"/>
      <c r="K2438"/>
    </row>
    <row r="2439" spans="1:11" s="21" customFormat="1">
      <c r="A2439"/>
      <c r="B2439"/>
      <c r="F2439"/>
      <c r="G2439"/>
      <c r="H2439"/>
      <c r="I2439" s="97"/>
      <c r="J2439"/>
      <c r="K2439"/>
    </row>
    <row r="2440" spans="1:11" s="21" customFormat="1">
      <c r="A2440"/>
      <c r="B2440"/>
      <c r="F2440"/>
      <c r="G2440"/>
      <c r="H2440"/>
      <c r="I2440" s="97"/>
      <c r="J2440"/>
      <c r="K2440"/>
    </row>
    <row r="2441" spans="1:11" s="21" customFormat="1">
      <c r="A2441"/>
      <c r="B2441"/>
      <c r="F2441"/>
      <c r="G2441"/>
      <c r="H2441"/>
      <c r="I2441" s="97"/>
      <c r="J2441"/>
      <c r="K2441"/>
    </row>
    <row r="2442" spans="1:11" s="21" customFormat="1">
      <c r="A2442"/>
      <c r="B2442"/>
      <c r="F2442"/>
      <c r="G2442"/>
      <c r="H2442"/>
      <c r="I2442" s="97"/>
      <c r="J2442"/>
      <c r="K2442"/>
    </row>
    <row r="2443" spans="1:11" s="21" customFormat="1">
      <c r="A2443"/>
      <c r="B2443"/>
      <c r="F2443"/>
      <c r="G2443"/>
      <c r="H2443"/>
      <c r="I2443" s="97"/>
      <c r="J2443"/>
      <c r="K2443"/>
    </row>
    <row r="2444" spans="1:11" s="21" customFormat="1">
      <c r="A2444"/>
      <c r="B2444"/>
      <c r="F2444"/>
      <c r="G2444"/>
      <c r="H2444"/>
      <c r="I2444" s="97"/>
      <c r="J2444"/>
      <c r="K2444"/>
    </row>
    <row r="2445" spans="1:11" s="21" customFormat="1">
      <c r="A2445"/>
      <c r="B2445"/>
      <c r="F2445"/>
      <c r="G2445"/>
      <c r="H2445"/>
      <c r="I2445" s="97"/>
      <c r="J2445"/>
      <c r="K2445"/>
    </row>
    <row r="2446" spans="1:11" s="21" customFormat="1">
      <c r="A2446"/>
      <c r="B2446"/>
      <c r="F2446"/>
      <c r="G2446"/>
      <c r="H2446"/>
      <c r="I2446" s="97"/>
      <c r="J2446"/>
      <c r="K2446"/>
    </row>
    <row r="2447" spans="1:11" s="21" customFormat="1">
      <c r="A2447"/>
      <c r="B2447"/>
      <c r="F2447"/>
      <c r="G2447"/>
      <c r="H2447"/>
      <c r="I2447" s="97"/>
      <c r="J2447"/>
      <c r="K2447"/>
    </row>
    <row r="2448" spans="1:11" s="21" customFormat="1">
      <c r="A2448"/>
      <c r="B2448"/>
      <c r="F2448"/>
      <c r="G2448"/>
      <c r="H2448"/>
      <c r="I2448" s="97"/>
      <c r="J2448"/>
      <c r="K2448"/>
    </row>
    <row r="2449" spans="1:11" s="21" customFormat="1">
      <c r="A2449"/>
      <c r="B2449"/>
      <c r="F2449"/>
      <c r="G2449"/>
      <c r="H2449"/>
      <c r="I2449" s="97"/>
      <c r="J2449"/>
      <c r="K2449"/>
    </row>
    <row r="2450" spans="1:11" s="21" customFormat="1">
      <c r="A2450"/>
      <c r="B2450"/>
      <c r="F2450"/>
      <c r="G2450"/>
      <c r="H2450"/>
      <c r="I2450" s="97"/>
      <c r="J2450"/>
      <c r="K2450"/>
    </row>
    <row r="2451" spans="1:11" s="21" customFormat="1">
      <c r="A2451"/>
      <c r="B2451"/>
      <c r="F2451"/>
      <c r="G2451"/>
      <c r="H2451"/>
      <c r="I2451" s="97"/>
      <c r="J2451"/>
      <c r="K2451"/>
    </row>
    <row r="2452" spans="1:11" s="21" customFormat="1">
      <c r="A2452"/>
      <c r="B2452"/>
      <c r="F2452"/>
      <c r="G2452"/>
      <c r="H2452"/>
      <c r="I2452" s="97"/>
      <c r="J2452"/>
      <c r="K2452"/>
    </row>
    <row r="2453" spans="1:11" s="21" customFormat="1">
      <c r="A2453"/>
      <c r="B2453"/>
      <c r="F2453"/>
      <c r="G2453"/>
      <c r="H2453"/>
      <c r="I2453" s="97"/>
      <c r="J2453"/>
      <c r="K2453"/>
    </row>
    <row r="2454" spans="1:11" s="21" customFormat="1">
      <c r="A2454"/>
      <c r="B2454"/>
      <c r="F2454"/>
      <c r="G2454"/>
      <c r="H2454"/>
      <c r="I2454" s="97"/>
      <c r="J2454"/>
      <c r="K2454"/>
    </row>
    <row r="2455" spans="1:11" s="21" customFormat="1">
      <c r="A2455"/>
      <c r="B2455"/>
      <c r="F2455"/>
      <c r="G2455"/>
      <c r="H2455"/>
      <c r="I2455" s="97"/>
      <c r="J2455"/>
      <c r="K2455"/>
    </row>
    <row r="2456" spans="1:11" s="21" customFormat="1">
      <c r="A2456"/>
      <c r="B2456"/>
      <c r="F2456"/>
      <c r="G2456"/>
      <c r="H2456"/>
      <c r="I2456" s="97"/>
      <c r="J2456"/>
      <c r="K2456"/>
    </row>
    <row r="2457" spans="1:11" s="21" customFormat="1">
      <c r="A2457"/>
      <c r="B2457"/>
      <c r="F2457"/>
      <c r="G2457"/>
      <c r="H2457"/>
      <c r="I2457" s="97"/>
      <c r="J2457"/>
      <c r="K2457"/>
    </row>
    <row r="2458" spans="1:11" s="21" customFormat="1">
      <c r="A2458"/>
      <c r="B2458"/>
      <c r="F2458"/>
      <c r="G2458"/>
      <c r="H2458"/>
      <c r="I2458" s="97"/>
      <c r="J2458"/>
      <c r="K2458"/>
    </row>
    <row r="2459" spans="1:11" s="21" customFormat="1">
      <c r="A2459"/>
      <c r="B2459"/>
      <c r="F2459"/>
      <c r="G2459"/>
      <c r="H2459"/>
      <c r="I2459" s="97"/>
      <c r="J2459"/>
      <c r="K2459"/>
    </row>
    <row r="2460" spans="1:11" s="21" customFormat="1">
      <c r="A2460"/>
      <c r="B2460"/>
      <c r="F2460"/>
      <c r="G2460"/>
      <c r="H2460"/>
      <c r="I2460" s="97"/>
      <c r="J2460"/>
      <c r="K2460"/>
    </row>
    <row r="2461" spans="1:11" s="21" customFormat="1">
      <c r="A2461"/>
      <c r="B2461"/>
      <c r="F2461"/>
      <c r="G2461"/>
      <c r="H2461"/>
      <c r="I2461" s="97"/>
      <c r="J2461"/>
      <c r="K2461"/>
    </row>
    <row r="2462" spans="1:11" s="21" customFormat="1">
      <c r="A2462"/>
      <c r="B2462"/>
      <c r="F2462"/>
      <c r="G2462"/>
      <c r="H2462"/>
      <c r="I2462" s="97"/>
      <c r="J2462"/>
      <c r="K2462"/>
    </row>
    <row r="2463" spans="1:11" s="21" customFormat="1">
      <c r="A2463"/>
      <c r="B2463"/>
      <c r="F2463"/>
      <c r="G2463"/>
      <c r="H2463"/>
      <c r="I2463" s="97"/>
      <c r="J2463"/>
      <c r="K2463"/>
    </row>
    <row r="2464" spans="1:11" s="21" customFormat="1">
      <c r="A2464"/>
      <c r="B2464"/>
      <c r="F2464"/>
      <c r="G2464"/>
      <c r="H2464"/>
      <c r="I2464" s="97"/>
      <c r="J2464"/>
      <c r="K2464"/>
    </row>
    <row r="2465" spans="1:11" s="21" customFormat="1">
      <c r="A2465"/>
      <c r="B2465"/>
      <c r="F2465"/>
      <c r="G2465"/>
      <c r="H2465"/>
      <c r="I2465" s="97"/>
      <c r="J2465"/>
      <c r="K2465"/>
    </row>
    <row r="2466" spans="1:11" s="21" customFormat="1">
      <c r="A2466"/>
      <c r="B2466"/>
      <c r="F2466"/>
      <c r="G2466"/>
      <c r="H2466"/>
      <c r="I2466" s="97"/>
      <c r="J2466"/>
      <c r="K2466"/>
    </row>
    <row r="2467" spans="1:11" s="21" customFormat="1">
      <c r="A2467"/>
      <c r="B2467"/>
      <c r="F2467"/>
      <c r="G2467"/>
      <c r="H2467"/>
      <c r="I2467" s="97"/>
      <c r="J2467"/>
      <c r="K2467"/>
    </row>
    <row r="2468" spans="1:11" s="21" customFormat="1">
      <c r="A2468"/>
      <c r="B2468"/>
      <c r="F2468"/>
      <c r="G2468"/>
      <c r="H2468"/>
      <c r="I2468" s="97"/>
      <c r="J2468"/>
      <c r="K2468"/>
    </row>
    <row r="2469" spans="1:11" s="21" customFormat="1">
      <c r="A2469"/>
      <c r="B2469"/>
      <c r="F2469"/>
      <c r="G2469"/>
      <c r="H2469"/>
      <c r="I2469" s="97"/>
      <c r="J2469"/>
      <c r="K2469"/>
    </row>
    <row r="2470" spans="1:11" s="21" customFormat="1">
      <c r="A2470"/>
      <c r="B2470"/>
      <c r="F2470"/>
      <c r="G2470"/>
      <c r="H2470"/>
      <c r="I2470" s="97"/>
      <c r="J2470"/>
      <c r="K2470"/>
    </row>
    <row r="2471" spans="1:11" s="21" customFormat="1">
      <c r="A2471"/>
      <c r="B2471"/>
      <c r="F2471"/>
      <c r="G2471"/>
      <c r="H2471"/>
      <c r="I2471" s="97"/>
      <c r="J2471"/>
      <c r="K2471"/>
    </row>
    <row r="2472" spans="1:11" s="21" customFormat="1">
      <c r="A2472"/>
      <c r="B2472"/>
      <c r="F2472"/>
      <c r="G2472"/>
      <c r="H2472"/>
      <c r="I2472" s="97"/>
      <c r="J2472"/>
      <c r="K2472"/>
    </row>
    <row r="2473" spans="1:11" s="21" customFormat="1">
      <c r="A2473"/>
      <c r="B2473"/>
      <c r="F2473"/>
      <c r="G2473"/>
      <c r="H2473"/>
      <c r="I2473" s="97"/>
      <c r="J2473"/>
      <c r="K2473"/>
    </row>
    <row r="2474" spans="1:11" s="21" customFormat="1">
      <c r="A2474"/>
      <c r="B2474"/>
      <c r="F2474"/>
      <c r="G2474"/>
      <c r="H2474"/>
      <c r="I2474" s="97"/>
      <c r="J2474"/>
      <c r="K2474"/>
    </row>
    <row r="2475" spans="1:11" s="21" customFormat="1">
      <c r="A2475"/>
      <c r="B2475"/>
      <c r="F2475"/>
      <c r="G2475"/>
      <c r="H2475"/>
      <c r="I2475" s="97"/>
      <c r="J2475"/>
      <c r="K2475"/>
    </row>
    <row r="2476" spans="1:11" s="21" customFormat="1">
      <c r="A2476"/>
      <c r="B2476"/>
      <c r="F2476"/>
      <c r="G2476"/>
      <c r="H2476"/>
      <c r="I2476" s="97"/>
      <c r="J2476"/>
      <c r="K2476"/>
    </row>
    <row r="2477" spans="1:11" s="21" customFormat="1">
      <c r="A2477"/>
      <c r="B2477"/>
      <c r="F2477"/>
      <c r="G2477"/>
      <c r="H2477"/>
      <c r="I2477" s="97"/>
      <c r="J2477"/>
      <c r="K2477"/>
    </row>
    <row r="2478" spans="1:11" s="21" customFormat="1">
      <c r="A2478"/>
      <c r="B2478"/>
      <c r="F2478"/>
      <c r="G2478"/>
      <c r="H2478"/>
      <c r="I2478" s="97"/>
      <c r="J2478"/>
      <c r="K2478"/>
    </row>
    <row r="2479" spans="1:11" s="21" customFormat="1">
      <c r="A2479"/>
      <c r="B2479"/>
      <c r="F2479"/>
      <c r="G2479"/>
      <c r="H2479"/>
      <c r="I2479" s="97"/>
      <c r="J2479"/>
      <c r="K2479"/>
    </row>
    <row r="2480" spans="1:11" s="21" customFormat="1">
      <c r="A2480"/>
      <c r="B2480"/>
      <c r="F2480"/>
      <c r="G2480"/>
      <c r="H2480"/>
      <c r="I2480" s="97"/>
      <c r="J2480"/>
      <c r="K2480"/>
    </row>
    <row r="2481" spans="1:11" s="21" customFormat="1">
      <c r="A2481"/>
      <c r="B2481"/>
      <c r="F2481"/>
      <c r="G2481"/>
      <c r="H2481"/>
      <c r="I2481" s="97"/>
      <c r="J2481"/>
      <c r="K2481"/>
    </row>
    <row r="2482" spans="1:11" s="21" customFormat="1">
      <c r="A2482"/>
      <c r="B2482"/>
      <c r="F2482"/>
      <c r="G2482"/>
      <c r="H2482"/>
      <c r="I2482" s="97"/>
      <c r="J2482"/>
      <c r="K2482"/>
    </row>
    <row r="2483" spans="1:11" s="21" customFormat="1">
      <c r="A2483"/>
      <c r="B2483"/>
      <c r="F2483"/>
      <c r="G2483"/>
      <c r="H2483"/>
      <c r="I2483" s="97"/>
      <c r="J2483"/>
      <c r="K2483"/>
    </row>
    <row r="2484" spans="1:11" s="21" customFormat="1">
      <c r="A2484"/>
      <c r="B2484"/>
      <c r="F2484"/>
      <c r="G2484"/>
      <c r="H2484"/>
      <c r="I2484" s="97"/>
      <c r="J2484"/>
      <c r="K2484"/>
    </row>
    <row r="2485" spans="1:11" s="21" customFormat="1">
      <c r="A2485"/>
      <c r="B2485"/>
      <c r="F2485"/>
      <c r="G2485"/>
      <c r="H2485"/>
      <c r="I2485" s="97"/>
      <c r="J2485"/>
      <c r="K2485"/>
    </row>
    <row r="2486" spans="1:11" s="21" customFormat="1">
      <c r="A2486"/>
      <c r="B2486"/>
      <c r="F2486"/>
      <c r="G2486"/>
      <c r="H2486"/>
      <c r="I2486" s="97"/>
      <c r="J2486"/>
      <c r="K2486"/>
    </row>
    <row r="2487" spans="1:11" s="21" customFormat="1">
      <c r="A2487"/>
      <c r="B2487"/>
      <c r="F2487"/>
      <c r="G2487"/>
      <c r="H2487"/>
      <c r="I2487" s="97"/>
      <c r="J2487"/>
      <c r="K2487"/>
    </row>
    <row r="2488" spans="1:11" s="21" customFormat="1">
      <c r="A2488"/>
      <c r="B2488"/>
      <c r="F2488"/>
      <c r="G2488"/>
      <c r="H2488"/>
      <c r="I2488" s="97"/>
      <c r="J2488"/>
      <c r="K2488"/>
    </row>
    <row r="2489" spans="1:11" s="21" customFormat="1">
      <c r="A2489"/>
      <c r="B2489"/>
      <c r="F2489"/>
      <c r="G2489"/>
      <c r="H2489"/>
      <c r="I2489" s="97"/>
      <c r="J2489"/>
      <c r="K2489"/>
    </row>
    <row r="2490" spans="1:11" s="21" customFormat="1">
      <c r="A2490"/>
      <c r="B2490"/>
      <c r="F2490"/>
      <c r="G2490"/>
      <c r="H2490"/>
      <c r="I2490" s="97"/>
      <c r="J2490"/>
      <c r="K2490"/>
    </row>
    <row r="2491" spans="1:11" s="21" customFormat="1">
      <c r="A2491"/>
      <c r="B2491"/>
      <c r="F2491"/>
      <c r="G2491"/>
      <c r="H2491"/>
      <c r="I2491" s="97"/>
      <c r="J2491"/>
      <c r="K2491"/>
    </row>
    <row r="2492" spans="1:11" s="21" customFormat="1">
      <c r="A2492"/>
      <c r="B2492"/>
      <c r="F2492"/>
      <c r="G2492"/>
      <c r="H2492"/>
      <c r="I2492" s="97"/>
      <c r="J2492"/>
      <c r="K2492"/>
    </row>
    <row r="2493" spans="1:11" s="21" customFormat="1">
      <c r="A2493"/>
      <c r="B2493"/>
      <c r="F2493"/>
      <c r="G2493"/>
      <c r="H2493"/>
      <c r="I2493" s="97"/>
      <c r="J2493"/>
      <c r="K2493"/>
    </row>
    <row r="2494" spans="1:11" s="21" customFormat="1">
      <c r="A2494"/>
      <c r="B2494"/>
      <c r="F2494"/>
      <c r="G2494"/>
      <c r="H2494"/>
      <c r="I2494" s="97"/>
      <c r="J2494"/>
      <c r="K2494"/>
    </row>
    <row r="2495" spans="1:11" s="21" customFormat="1">
      <c r="A2495"/>
      <c r="B2495"/>
      <c r="F2495"/>
      <c r="G2495"/>
      <c r="H2495"/>
      <c r="I2495" s="97"/>
      <c r="J2495"/>
      <c r="K2495"/>
    </row>
    <row r="2496" spans="1:11" s="21" customFormat="1">
      <c r="A2496"/>
      <c r="B2496"/>
      <c r="F2496"/>
      <c r="G2496"/>
      <c r="H2496"/>
      <c r="I2496" s="97"/>
      <c r="J2496"/>
      <c r="K2496"/>
    </row>
    <row r="2497" spans="1:11" s="21" customFormat="1">
      <c r="A2497"/>
      <c r="B2497"/>
      <c r="F2497"/>
      <c r="G2497"/>
      <c r="H2497"/>
      <c r="I2497" s="97"/>
      <c r="J2497"/>
      <c r="K2497"/>
    </row>
    <row r="2498" spans="1:11" s="21" customFormat="1">
      <c r="A2498"/>
      <c r="B2498"/>
      <c r="F2498"/>
      <c r="G2498"/>
      <c r="H2498"/>
      <c r="I2498" s="97"/>
      <c r="J2498"/>
      <c r="K2498"/>
    </row>
    <row r="2499" spans="1:11" s="21" customFormat="1">
      <c r="A2499"/>
      <c r="B2499"/>
      <c r="F2499"/>
      <c r="G2499"/>
      <c r="H2499"/>
      <c r="I2499" s="97"/>
      <c r="J2499"/>
      <c r="K2499"/>
    </row>
    <row r="2500" spans="1:11" s="21" customFormat="1">
      <c r="A2500"/>
      <c r="B2500"/>
      <c r="F2500"/>
      <c r="G2500"/>
      <c r="H2500"/>
      <c r="I2500" s="97"/>
      <c r="J2500"/>
      <c r="K2500"/>
    </row>
    <row r="2501" spans="1:11" s="21" customFormat="1">
      <c r="A2501"/>
      <c r="B2501"/>
      <c r="F2501"/>
      <c r="G2501"/>
      <c r="H2501"/>
      <c r="I2501" s="97"/>
      <c r="J2501"/>
      <c r="K2501"/>
    </row>
    <row r="2502" spans="1:11" s="21" customFormat="1">
      <c r="A2502"/>
      <c r="B2502"/>
      <c r="F2502"/>
      <c r="G2502"/>
      <c r="H2502"/>
      <c r="I2502" s="97"/>
      <c r="J2502"/>
      <c r="K2502"/>
    </row>
    <row r="2503" spans="1:11" s="21" customFormat="1">
      <c r="A2503"/>
      <c r="B2503"/>
      <c r="F2503"/>
      <c r="G2503"/>
      <c r="H2503"/>
      <c r="I2503" s="97"/>
      <c r="J2503"/>
      <c r="K2503"/>
    </row>
    <row r="2504" spans="1:11" s="21" customFormat="1">
      <c r="A2504"/>
      <c r="B2504"/>
      <c r="F2504"/>
      <c r="G2504"/>
      <c r="H2504"/>
      <c r="I2504" s="97"/>
      <c r="J2504"/>
      <c r="K2504"/>
    </row>
    <row r="2505" spans="1:11" s="21" customFormat="1">
      <c r="A2505"/>
      <c r="B2505"/>
      <c r="F2505"/>
      <c r="G2505"/>
      <c r="H2505"/>
      <c r="I2505" s="97"/>
      <c r="J2505"/>
      <c r="K2505"/>
    </row>
    <row r="2506" spans="1:11" s="21" customFormat="1">
      <c r="A2506"/>
      <c r="B2506"/>
      <c r="F2506"/>
      <c r="G2506"/>
      <c r="H2506"/>
      <c r="I2506" s="97"/>
      <c r="J2506"/>
      <c r="K2506"/>
    </row>
    <row r="2507" spans="1:11" s="21" customFormat="1">
      <c r="A2507"/>
      <c r="B2507"/>
      <c r="F2507"/>
      <c r="G2507"/>
      <c r="H2507"/>
      <c r="I2507" s="97"/>
      <c r="J2507"/>
      <c r="K2507"/>
    </row>
    <row r="2508" spans="1:11" s="21" customFormat="1">
      <c r="A2508"/>
      <c r="B2508"/>
      <c r="F2508"/>
      <c r="G2508"/>
      <c r="H2508"/>
      <c r="I2508" s="97"/>
      <c r="J2508"/>
      <c r="K2508"/>
    </row>
    <row r="2509" spans="1:11" s="21" customFormat="1">
      <c r="A2509"/>
      <c r="B2509"/>
      <c r="F2509"/>
      <c r="G2509"/>
      <c r="H2509"/>
      <c r="I2509" s="97"/>
      <c r="J2509"/>
      <c r="K2509"/>
    </row>
    <row r="2510" spans="1:11" s="21" customFormat="1">
      <c r="A2510"/>
      <c r="B2510"/>
      <c r="F2510"/>
      <c r="G2510"/>
      <c r="H2510"/>
      <c r="I2510" s="97"/>
      <c r="J2510"/>
      <c r="K2510"/>
    </row>
    <row r="2511" spans="1:11" s="21" customFormat="1">
      <c r="A2511"/>
      <c r="B2511"/>
      <c r="F2511"/>
      <c r="G2511"/>
      <c r="H2511"/>
      <c r="I2511" s="97"/>
      <c r="J2511"/>
      <c r="K2511"/>
    </row>
    <row r="2512" spans="1:11" s="21" customFormat="1">
      <c r="A2512"/>
      <c r="B2512"/>
      <c r="F2512"/>
      <c r="G2512"/>
      <c r="H2512"/>
      <c r="I2512" s="97"/>
      <c r="J2512"/>
      <c r="K2512"/>
    </row>
    <row r="2513" spans="1:11" s="21" customFormat="1">
      <c r="A2513"/>
      <c r="B2513"/>
      <c r="F2513"/>
      <c r="G2513"/>
      <c r="H2513"/>
      <c r="I2513" s="97"/>
      <c r="J2513"/>
      <c r="K2513"/>
    </row>
    <row r="2514" spans="1:11" s="21" customFormat="1">
      <c r="A2514"/>
      <c r="B2514"/>
      <c r="F2514"/>
      <c r="G2514"/>
      <c r="H2514"/>
      <c r="I2514" s="97"/>
      <c r="J2514"/>
      <c r="K2514"/>
    </row>
    <row r="2515" spans="1:11" s="21" customFormat="1">
      <c r="A2515"/>
      <c r="B2515"/>
      <c r="F2515"/>
      <c r="G2515"/>
      <c r="H2515"/>
      <c r="I2515" s="97"/>
      <c r="J2515"/>
      <c r="K2515"/>
    </row>
    <row r="2516" spans="1:11" s="21" customFormat="1">
      <c r="A2516"/>
      <c r="B2516"/>
      <c r="F2516"/>
      <c r="G2516"/>
      <c r="H2516"/>
      <c r="I2516" s="97"/>
      <c r="J2516"/>
      <c r="K2516"/>
    </row>
    <row r="2517" spans="1:11" s="21" customFormat="1">
      <c r="A2517"/>
      <c r="B2517"/>
      <c r="F2517"/>
      <c r="G2517"/>
      <c r="H2517"/>
      <c r="I2517" s="97"/>
      <c r="J2517"/>
      <c r="K2517"/>
    </row>
    <row r="2518" spans="1:11" s="21" customFormat="1">
      <c r="A2518"/>
      <c r="B2518"/>
      <c r="F2518"/>
      <c r="G2518"/>
      <c r="H2518"/>
      <c r="I2518" s="97"/>
      <c r="J2518"/>
      <c r="K2518"/>
    </row>
    <row r="2519" spans="1:11" s="21" customFormat="1">
      <c r="A2519"/>
      <c r="B2519"/>
      <c r="F2519"/>
      <c r="G2519"/>
      <c r="H2519"/>
      <c r="I2519" s="97"/>
      <c r="J2519"/>
      <c r="K2519"/>
    </row>
    <row r="2520" spans="1:11" s="21" customFormat="1">
      <c r="A2520"/>
      <c r="B2520"/>
      <c r="F2520"/>
      <c r="G2520"/>
      <c r="H2520"/>
      <c r="I2520" s="97"/>
      <c r="J2520"/>
      <c r="K2520"/>
    </row>
    <row r="2521" spans="1:11" s="21" customFormat="1">
      <c r="A2521"/>
      <c r="B2521"/>
      <c r="F2521"/>
      <c r="G2521"/>
      <c r="H2521"/>
      <c r="I2521" s="97"/>
      <c r="J2521"/>
      <c r="K2521"/>
    </row>
    <row r="2522" spans="1:11" s="21" customFormat="1">
      <c r="A2522"/>
      <c r="B2522"/>
      <c r="F2522"/>
      <c r="G2522"/>
      <c r="H2522"/>
      <c r="I2522" s="97"/>
      <c r="J2522"/>
      <c r="K2522"/>
    </row>
    <row r="2523" spans="1:11" s="21" customFormat="1">
      <c r="A2523"/>
      <c r="B2523"/>
      <c r="F2523"/>
      <c r="G2523"/>
      <c r="H2523"/>
      <c r="I2523" s="97"/>
      <c r="J2523"/>
      <c r="K2523"/>
    </row>
    <row r="2524" spans="1:11" s="21" customFormat="1">
      <c r="A2524"/>
      <c r="B2524"/>
      <c r="F2524"/>
      <c r="G2524"/>
      <c r="H2524"/>
      <c r="I2524" s="97"/>
      <c r="J2524"/>
      <c r="K2524"/>
    </row>
    <row r="2525" spans="1:11" s="21" customFormat="1">
      <c r="A2525"/>
      <c r="B2525"/>
      <c r="F2525"/>
      <c r="G2525"/>
      <c r="H2525"/>
      <c r="I2525" s="97"/>
      <c r="J2525"/>
      <c r="K2525"/>
    </row>
    <row r="2526" spans="1:11" s="21" customFormat="1">
      <c r="A2526"/>
      <c r="B2526"/>
      <c r="F2526"/>
      <c r="G2526"/>
      <c r="H2526"/>
      <c r="I2526" s="97"/>
      <c r="J2526"/>
      <c r="K2526"/>
    </row>
    <row r="2527" spans="1:11" s="21" customFormat="1">
      <c r="A2527"/>
      <c r="B2527"/>
      <c r="F2527"/>
      <c r="G2527"/>
      <c r="H2527"/>
      <c r="I2527" s="97"/>
      <c r="J2527"/>
      <c r="K2527"/>
    </row>
    <row r="2528" spans="1:11" s="21" customFormat="1">
      <c r="A2528"/>
      <c r="B2528"/>
      <c r="F2528"/>
      <c r="G2528"/>
      <c r="H2528"/>
      <c r="I2528" s="97"/>
      <c r="J2528"/>
      <c r="K2528"/>
    </row>
    <row r="2529" spans="1:11" s="21" customFormat="1">
      <c r="A2529"/>
      <c r="B2529"/>
      <c r="F2529"/>
      <c r="G2529"/>
      <c r="H2529"/>
      <c r="I2529" s="97"/>
      <c r="J2529"/>
      <c r="K2529"/>
    </row>
    <row r="2530" spans="1:11" s="21" customFormat="1">
      <c r="A2530"/>
      <c r="B2530"/>
      <c r="F2530"/>
      <c r="G2530"/>
      <c r="H2530"/>
      <c r="I2530" s="97"/>
      <c r="J2530"/>
      <c r="K2530"/>
    </row>
    <row r="2531" spans="1:11" s="21" customFormat="1">
      <c r="A2531"/>
      <c r="B2531"/>
      <c r="F2531"/>
      <c r="G2531"/>
      <c r="H2531"/>
      <c r="I2531" s="97"/>
      <c r="J2531"/>
      <c r="K2531"/>
    </row>
    <row r="2532" spans="1:11" s="21" customFormat="1">
      <c r="A2532"/>
      <c r="B2532"/>
      <c r="F2532"/>
      <c r="G2532"/>
      <c r="H2532"/>
      <c r="I2532" s="97"/>
      <c r="J2532"/>
      <c r="K2532"/>
    </row>
    <row r="2533" spans="1:11" s="21" customFormat="1">
      <c r="A2533"/>
      <c r="B2533"/>
      <c r="F2533"/>
      <c r="G2533"/>
      <c r="H2533"/>
      <c r="I2533" s="97"/>
      <c r="J2533"/>
      <c r="K2533"/>
    </row>
    <row r="2534" spans="1:11" s="21" customFormat="1">
      <c r="A2534"/>
      <c r="B2534"/>
      <c r="F2534"/>
      <c r="G2534"/>
      <c r="H2534"/>
      <c r="I2534" s="97"/>
      <c r="J2534"/>
      <c r="K2534"/>
    </row>
    <row r="2535" spans="1:11" s="21" customFormat="1">
      <c r="A2535"/>
      <c r="B2535"/>
      <c r="F2535"/>
      <c r="G2535"/>
      <c r="H2535"/>
      <c r="I2535" s="97"/>
      <c r="J2535"/>
      <c r="K2535"/>
    </row>
    <row r="2536" spans="1:11" s="21" customFormat="1">
      <c r="A2536"/>
      <c r="B2536"/>
      <c r="F2536"/>
      <c r="G2536"/>
      <c r="H2536"/>
      <c r="I2536" s="97"/>
      <c r="J2536"/>
      <c r="K2536"/>
    </row>
    <row r="2537" spans="1:11" s="21" customFormat="1">
      <c r="A2537"/>
      <c r="B2537"/>
      <c r="F2537"/>
      <c r="G2537"/>
      <c r="H2537"/>
      <c r="I2537" s="97"/>
      <c r="J2537"/>
      <c r="K2537"/>
    </row>
    <row r="2538" spans="1:11" s="21" customFormat="1">
      <c r="A2538"/>
      <c r="B2538"/>
      <c r="F2538"/>
      <c r="G2538"/>
      <c r="H2538"/>
      <c r="I2538" s="97"/>
      <c r="J2538"/>
      <c r="K2538"/>
    </row>
    <row r="2539" spans="1:11" s="21" customFormat="1">
      <c r="A2539"/>
      <c r="B2539"/>
      <c r="F2539"/>
      <c r="G2539"/>
      <c r="H2539"/>
      <c r="I2539" s="97"/>
      <c r="J2539"/>
      <c r="K2539"/>
    </row>
    <row r="2540" spans="1:11" s="21" customFormat="1">
      <c r="A2540"/>
      <c r="B2540"/>
      <c r="F2540"/>
      <c r="G2540"/>
      <c r="H2540"/>
      <c r="I2540" s="97"/>
      <c r="J2540"/>
      <c r="K2540"/>
    </row>
    <row r="2541" spans="1:11" s="21" customFormat="1">
      <c r="A2541"/>
      <c r="B2541"/>
      <c r="F2541"/>
      <c r="G2541"/>
      <c r="H2541"/>
      <c r="I2541" s="97"/>
      <c r="J2541"/>
      <c r="K2541"/>
    </row>
    <row r="2542" spans="1:11" s="21" customFormat="1">
      <c r="A2542"/>
      <c r="B2542"/>
      <c r="F2542"/>
      <c r="G2542"/>
      <c r="H2542"/>
      <c r="I2542" s="97"/>
      <c r="J2542"/>
      <c r="K2542"/>
    </row>
    <row r="2543" spans="1:11" s="21" customFormat="1">
      <c r="A2543"/>
      <c r="B2543"/>
      <c r="F2543"/>
      <c r="G2543"/>
      <c r="H2543"/>
      <c r="I2543" s="97"/>
      <c r="J2543"/>
      <c r="K2543"/>
    </row>
    <row r="2544" spans="1:11" s="21" customFormat="1">
      <c r="A2544"/>
      <c r="B2544"/>
      <c r="F2544"/>
      <c r="G2544"/>
      <c r="H2544"/>
      <c r="I2544" s="97"/>
      <c r="J2544"/>
      <c r="K2544"/>
    </row>
    <row r="2545" spans="1:11" s="21" customFormat="1">
      <c r="A2545"/>
      <c r="B2545"/>
      <c r="F2545"/>
      <c r="G2545"/>
      <c r="H2545"/>
      <c r="I2545" s="97"/>
      <c r="J2545"/>
      <c r="K2545"/>
    </row>
    <row r="2546" spans="1:11" s="21" customFormat="1">
      <c r="A2546"/>
      <c r="B2546"/>
      <c r="F2546"/>
      <c r="G2546"/>
      <c r="H2546"/>
      <c r="I2546" s="97"/>
      <c r="J2546"/>
      <c r="K2546"/>
    </row>
    <row r="2547" spans="1:11" s="21" customFormat="1">
      <c r="A2547"/>
      <c r="B2547"/>
      <c r="F2547"/>
      <c r="G2547"/>
      <c r="H2547"/>
      <c r="I2547" s="97"/>
      <c r="J2547"/>
      <c r="K2547"/>
    </row>
    <row r="2548" spans="1:11" s="21" customFormat="1">
      <c r="A2548"/>
      <c r="B2548"/>
      <c r="F2548"/>
      <c r="G2548"/>
      <c r="H2548"/>
      <c r="I2548" s="97"/>
      <c r="J2548"/>
      <c r="K2548"/>
    </row>
    <row r="2549" spans="1:11" s="21" customFormat="1">
      <c r="A2549"/>
      <c r="B2549"/>
      <c r="F2549"/>
      <c r="G2549"/>
      <c r="H2549"/>
      <c r="I2549" s="97"/>
      <c r="J2549"/>
      <c r="K2549"/>
    </row>
    <row r="2550" spans="1:11" s="21" customFormat="1">
      <c r="A2550"/>
      <c r="B2550"/>
      <c r="F2550"/>
      <c r="G2550"/>
      <c r="H2550"/>
      <c r="I2550" s="97"/>
      <c r="J2550"/>
      <c r="K2550"/>
    </row>
    <row r="2551" spans="1:11" s="21" customFormat="1">
      <c r="A2551"/>
      <c r="B2551"/>
      <c r="F2551"/>
      <c r="G2551"/>
      <c r="H2551"/>
      <c r="I2551" s="97"/>
      <c r="J2551"/>
      <c r="K2551"/>
    </row>
    <row r="2552" spans="1:11" s="21" customFormat="1">
      <c r="A2552"/>
      <c r="B2552"/>
      <c r="F2552"/>
      <c r="G2552"/>
      <c r="H2552"/>
      <c r="I2552" s="97"/>
      <c r="J2552"/>
      <c r="K2552"/>
    </row>
    <row r="2553" spans="1:11" s="21" customFormat="1">
      <c r="A2553"/>
      <c r="B2553"/>
      <c r="F2553"/>
      <c r="G2553"/>
      <c r="H2553"/>
      <c r="I2553" s="97"/>
      <c r="J2553"/>
      <c r="K2553"/>
    </row>
    <row r="2554" spans="1:11" s="21" customFormat="1">
      <c r="A2554"/>
      <c r="B2554"/>
      <c r="F2554"/>
      <c r="G2554"/>
      <c r="H2554"/>
      <c r="I2554" s="97"/>
      <c r="J2554"/>
      <c r="K2554"/>
    </row>
    <row r="2555" spans="1:11" s="21" customFormat="1">
      <c r="A2555"/>
      <c r="B2555"/>
      <c r="F2555"/>
      <c r="G2555"/>
      <c r="H2555"/>
      <c r="I2555" s="97"/>
      <c r="J2555"/>
      <c r="K2555"/>
    </row>
    <row r="2556" spans="1:11" s="21" customFormat="1">
      <c r="A2556"/>
      <c r="B2556"/>
      <c r="F2556"/>
      <c r="G2556"/>
      <c r="H2556"/>
      <c r="I2556" s="97"/>
      <c r="J2556"/>
      <c r="K2556"/>
    </row>
    <row r="2557" spans="1:11" s="21" customFormat="1">
      <c r="A2557"/>
      <c r="B2557"/>
      <c r="F2557"/>
      <c r="G2557"/>
      <c r="H2557"/>
      <c r="I2557" s="97"/>
      <c r="J2557"/>
      <c r="K2557"/>
    </row>
    <row r="2558" spans="1:11" s="21" customFormat="1">
      <c r="A2558"/>
      <c r="B2558"/>
      <c r="F2558"/>
      <c r="G2558"/>
      <c r="H2558"/>
      <c r="I2558" s="97"/>
      <c r="J2558"/>
      <c r="K2558"/>
    </row>
    <row r="2559" spans="1:11" s="21" customFormat="1">
      <c r="A2559"/>
      <c r="B2559"/>
      <c r="F2559"/>
      <c r="G2559"/>
      <c r="H2559"/>
      <c r="I2559" s="97"/>
      <c r="J2559"/>
      <c r="K2559"/>
    </row>
    <row r="2560" spans="1:11" s="21" customFormat="1">
      <c r="A2560"/>
      <c r="B2560"/>
      <c r="F2560"/>
      <c r="G2560"/>
      <c r="H2560"/>
      <c r="I2560" s="97"/>
      <c r="J2560"/>
      <c r="K2560"/>
    </row>
    <row r="2561" spans="1:11" s="21" customFormat="1">
      <c r="A2561"/>
      <c r="B2561"/>
      <c r="F2561"/>
      <c r="G2561"/>
      <c r="H2561"/>
      <c r="I2561" s="97"/>
      <c r="J2561"/>
      <c r="K2561"/>
    </row>
    <row r="2562" spans="1:11" s="21" customFormat="1">
      <c r="A2562"/>
      <c r="B2562"/>
      <c r="F2562"/>
      <c r="G2562"/>
      <c r="H2562"/>
      <c r="I2562" s="97"/>
      <c r="J2562"/>
      <c r="K2562"/>
    </row>
    <row r="2563" spans="1:11" s="21" customFormat="1">
      <c r="A2563"/>
      <c r="B2563"/>
      <c r="F2563"/>
      <c r="G2563"/>
      <c r="H2563"/>
      <c r="I2563" s="97"/>
      <c r="J2563"/>
      <c r="K2563"/>
    </row>
    <row r="2564" spans="1:11" s="21" customFormat="1">
      <c r="A2564"/>
      <c r="B2564"/>
      <c r="F2564"/>
      <c r="G2564"/>
      <c r="H2564"/>
      <c r="I2564" s="97"/>
      <c r="J2564"/>
      <c r="K2564"/>
    </row>
    <row r="2565" spans="1:11" s="21" customFormat="1">
      <c r="A2565"/>
      <c r="B2565"/>
      <c r="F2565"/>
      <c r="G2565"/>
      <c r="H2565"/>
      <c r="I2565" s="97"/>
      <c r="J2565"/>
      <c r="K2565"/>
    </row>
    <row r="2566" spans="1:11" s="21" customFormat="1">
      <c r="A2566"/>
      <c r="B2566"/>
      <c r="F2566"/>
      <c r="G2566"/>
      <c r="H2566"/>
      <c r="I2566" s="97"/>
      <c r="J2566"/>
      <c r="K2566"/>
    </row>
    <row r="2567" spans="1:11" s="21" customFormat="1">
      <c r="A2567"/>
      <c r="B2567"/>
      <c r="F2567"/>
      <c r="G2567"/>
      <c r="H2567"/>
      <c r="I2567" s="97"/>
      <c r="J2567"/>
      <c r="K2567"/>
    </row>
    <row r="2568" spans="1:11" s="21" customFormat="1">
      <c r="A2568"/>
      <c r="B2568"/>
      <c r="F2568"/>
      <c r="G2568"/>
      <c r="H2568"/>
      <c r="I2568" s="97"/>
      <c r="J2568"/>
      <c r="K2568"/>
    </row>
    <row r="2569" spans="1:11" s="21" customFormat="1">
      <c r="A2569"/>
      <c r="B2569"/>
      <c r="F2569"/>
      <c r="G2569"/>
      <c r="H2569"/>
      <c r="I2569" s="97"/>
      <c r="J2569"/>
      <c r="K2569"/>
    </row>
    <row r="2570" spans="1:11" s="21" customFormat="1">
      <c r="A2570"/>
      <c r="B2570"/>
      <c r="F2570"/>
      <c r="G2570"/>
      <c r="H2570"/>
      <c r="I2570" s="97"/>
      <c r="J2570"/>
      <c r="K2570"/>
    </row>
    <row r="2571" spans="1:11" s="21" customFormat="1">
      <c r="A2571"/>
      <c r="B2571"/>
      <c r="F2571"/>
      <c r="G2571"/>
      <c r="H2571"/>
      <c r="I2571" s="97"/>
      <c r="J2571"/>
      <c r="K2571"/>
    </row>
    <row r="2572" spans="1:11" s="21" customFormat="1">
      <c r="A2572"/>
      <c r="B2572"/>
      <c r="F2572"/>
      <c r="G2572"/>
      <c r="H2572"/>
      <c r="I2572" s="97"/>
      <c r="J2572"/>
      <c r="K2572"/>
    </row>
    <row r="2573" spans="1:11" s="21" customFormat="1">
      <c r="A2573"/>
      <c r="B2573"/>
      <c r="F2573"/>
      <c r="G2573"/>
      <c r="H2573"/>
      <c r="I2573" s="97"/>
      <c r="J2573"/>
      <c r="K2573"/>
    </row>
    <row r="2574" spans="1:11" s="21" customFormat="1">
      <c r="A2574"/>
      <c r="B2574"/>
      <c r="F2574"/>
      <c r="G2574"/>
      <c r="H2574"/>
      <c r="I2574" s="97"/>
      <c r="J2574"/>
      <c r="K2574"/>
    </row>
    <row r="2575" spans="1:11" s="21" customFormat="1">
      <c r="A2575"/>
      <c r="B2575"/>
      <c r="F2575"/>
      <c r="G2575"/>
      <c r="H2575"/>
      <c r="I2575" s="97"/>
      <c r="J2575"/>
      <c r="K2575"/>
    </row>
    <row r="2576" spans="1:11" s="21" customFormat="1">
      <c r="A2576"/>
      <c r="B2576"/>
      <c r="F2576"/>
      <c r="G2576"/>
      <c r="H2576"/>
      <c r="I2576" s="97"/>
      <c r="J2576"/>
      <c r="K2576"/>
    </row>
    <row r="2577" spans="1:11" s="21" customFormat="1">
      <c r="A2577"/>
      <c r="B2577"/>
      <c r="F2577"/>
      <c r="G2577"/>
      <c r="H2577"/>
      <c r="I2577" s="97"/>
      <c r="J2577"/>
      <c r="K2577"/>
    </row>
    <row r="2578" spans="1:11" s="21" customFormat="1">
      <c r="A2578"/>
      <c r="B2578"/>
      <c r="F2578"/>
      <c r="G2578"/>
      <c r="H2578"/>
      <c r="I2578" s="97"/>
      <c r="J2578"/>
      <c r="K2578"/>
    </row>
    <row r="2579" spans="1:11" s="21" customFormat="1">
      <c r="A2579"/>
      <c r="B2579"/>
      <c r="F2579"/>
      <c r="G2579"/>
      <c r="H2579"/>
      <c r="I2579" s="97"/>
      <c r="J2579"/>
      <c r="K2579"/>
    </row>
    <row r="2580" spans="1:11" s="21" customFormat="1">
      <c r="A2580"/>
      <c r="B2580"/>
      <c r="F2580"/>
      <c r="G2580"/>
      <c r="H2580"/>
      <c r="I2580" s="97"/>
      <c r="J2580"/>
      <c r="K2580"/>
    </row>
    <row r="2581" spans="1:11" s="21" customFormat="1">
      <c r="A2581"/>
      <c r="B2581"/>
      <c r="F2581"/>
      <c r="G2581"/>
      <c r="H2581"/>
      <c r="I2581" s="97"/>
      <c r="J2581"/>
      <c r="K2581"/>
    </row>
    <row r="2582" spans="1:11" s="21" customFormat="1">
      <c r="A2582"/>
      <c r="B2582"/>
      <c r="F2582"/>
      <c r="G2582"/>
      <c r="H2582"/>
      <c r="I2582" s="97"/>
      <c r="J2582"/>
      <c r="K2582"/>
    </row>
    <row r="2583" spans="1:11" s="21" customFormat="1">
      <c r="A2583"/>
      <c r="B2583"/>
      <c r="F2583"/>
      <c r="G2583"/>
      <c r="H2583"/>
      <c r="I2583" s="97"/>
      <c r="J2583"/>
      <c r="K2583"/>
    </row>
    <row r="2584" spans="1:11" s="21" customFormat="1">
      <c r="A2584"/>
      <c r="B2584"/>
      <c r="F2584"/>
      <c r="G2584"/>
      <c r="H2584"/>
      <c r="I2584" s="97"/>
      <c r="J2584"/>
      <c r="K2584"/>
    </row>
    <row r="2585" spans="1:11" s="21" customFormat="1">
      <c r="A2585"/>
      <c r="B2585"/>
      <c r="F2585"/>
      <c r="G2585"/>
      <c r="H2585"/>
      <c r="I2585" s="97"/>
      <c r="J2585"/>
      <c r="K2585"/>
    </row>
    <row r="2586" spans="1:11" s="21" customFormat="1">
      <c r="A2586"/>
      <c r="B2586"/>
      <c r="F2586"/>
      <c r="G2586"/>
      <c r="H2586"/>
      <c r="I2586" s="97"/>
      <c r="J2586"/>
      <c r="K2586"/>
    </row>
    <row r="2587" spans="1:11" s="21" customFormat="1">
      <c r="A2587"/>
      <c r="B2587"/>
      <c r="F2587"/>
      <c r="G2587"/>
      <c r="H2587"/>
      <c r="I2587" s="97"/>
      <c r="J2587"/>
      <c r="K2587"/>
    </row>
    <row r="2588" spans="1:11" s="21" customFormat="1">
      <c r="A2588"/>
      <c r="B2588"/>
      <c r="F2588"/>
      <c r="G2588"/>
      <c r="H2588"/>
      <c r="I2588" s="97"/>
      <c r="J2588"/>
      <c r="K2588"/>
    </row>
    <row r="2589" spans="1:11" s="21" customFormat="1">
      <c r="A2589"/>
      <c r="B2589"/>
      <c r="F2589"/>
      <c r="G2589"/>
      <c r="H2589"/>
      <c r="I2589" s="97"/>
      <c r="J2589"/>
      <c r="K2589"/>
    </row>
    <row r="2590" spans="1:11" s="21" customFormat="1">
      <c r="A2590"/>
      <c r="B2590"/>
      <c r="F2590"/>
      <c r="G2590"/>
      <c r="H2590"/>
      <c r="I2590" s="97"/>
      <c r="J2590"/>
      <c r="K2590"/>
    </row>
    <row r="2591" spans="1:11" s="21" customFormat="1">
      <c r="A2591"/>
      <c r="B2591"/>
      <c r="F2591"/>
      <c r="G2591"/>
      <c r="H2591"/>
      <c r="I2591" s="97"/>
      <c r="J2591"/>
      <c r="K2591"/>
    </row>
    <row r="2592" spans="1:11" s="21" customFormat="1">
      <c r="A2592"/>
      <c r="B2592"/>
      <c r="F2592"/>
      <c r="G2592"/>
      <c r="H2592"/>
      <c r="I2592" s="97"/>
      <c r="J2592"/>
      <c r="K2592"/>
    </row>
    <row r="2593" spans="1:11" s="21" customFormat="1">
      <c r="A2593"/>
      <c r="B2593"/>
      <c r="F2593"/>
      <c r="G2593"/>
      <c r="H2593"/>
      <c r="I2593" s="97"/>
      <c r="J2593"/>
      <c r="K2593"/>
    </row>
    <row r="2594" spans="1:11" s="21" customFormat="1">
      <c r="A2594"/>
      <c r="B2594"/>
      <c r="F2594"/>
      <c r="G2594"/>
      <c r="H2594"/>
      <c r="I2594" s="97"/>
      <c r="J2594"/>
      <c r="K2594"/>
    </row>
    <row r="2595" spans="1:11" s="21" customFormat="1">
      <c r="A2595"/>
      <c r="B2595"/>
      <c r="F2595"/>
      <c r="G2595"/>
      <c r="H2595"/>
      <c r="I2595" s="97"/>
      <c r="J2595"/>
      <c r="K2595"/>
    </row>
    <row r="2596" spans="1:11" s="21" customFormat="1">
      <c r="A2596"/>
      <c r="B2596"/>
      <c r="F2596"/>
      <c r="G2596"/>
      <c r="H2596"/>
      <c r="I2596" s="97"/>
      <c r="J2596"/>
      <c r="K2596"/>
    </row>
    <row r="2597" spans="1:11" s="21" customFormat="1">
      <c r="A2597"/>
      <c r="B2597"/>
      <c r="F2597"/>
      <c r="G2597"/>
      <c r="H2597"/>
      <c r="I2597" s="97"/>
      <c r="J2597"/>
      <c r="K2597"/>
    </row>
    <row r="2598" spans="1:11" s="21" customFormat="1">
      <c r="A2598"/>
      <c r="B2598"/>
      <c r="F2598"/>
      <c r="G2598"/>
      <c r="H2598"/>
      <c r="I2598" s="97"/>
      <c r="J2598"/>
      <c r="K2598"/>
    </row>
    <row r="2599" spans="1:11" s="21" customFormat="1">
      <c r="A2599"/>
      <c r="B2599"/>
      <c r="F2599"/>
      <c r="G2599"/>
      <c r="H2599"/>
      <c r="I2599" s="97"/>
      <c r="J2599"/>
      <c r="K2599"/>
    </row>
    <row r="2600" spans="1:11" s="21" customFormat="1">
      <c r="A2600"/>
      <c r="B2600"/>
      <c r="F2600"/>
      <c r="G2600"/>
      <c r="H2600"/>
      <c r="I2600" s="97"/>
      <c r="J2600"/>
      <c r="K2600"/>
    </row>
    <row r="2601" spans="1:11" s="21" customFormat="1">
      <c r="A2601"/>
      <c r="B2601"/>
      <c r="F2601"/>
      <c r="G2601"/>
      <c r="H2601"/>
      <c r="I2601" s="97"/>
      <c r="J2601"/>
      <c r="K2601"/>
    </row>
    <row r="2602" spans="1:11" s="21" customFormat="1">
      <c r="A2602"/>
      <c r="B2602"/>
      <c r="F2602"/>
      <c r="G2602"/>
      <c r="H2602"/>
      <c r="I2602" s="97"/>
      <c r="J2602"/>
      <c r="K2602"/>
    </row>
    <row r="2603" spans="1:11" s="21" customFormat="1">
      <c r="A2603"/>
      <c r="B2603"/>
      <c r="F2603"/>
      <c r="G2603"/>
      <c r="H2603"/>
      <c r="I2603" s="97"/>
      <c r="J2603"/>
      <c r="K2603"/>
    </row>
    <row r="2604" spans="1:11" s="21" customFormat="1">
      <c r="A2604"/>
      <c r="B2604"/>
      <c r="F2604"/>
      <c r="G2604"/>
      <c r="H2604"/>
      <c r="I2604" s="97"/>
      <c r="J2604"/>
      <c r="K2604"/>
    </row>
    <row r="2605" spans="1:11" s="21" customFormat="1">
      <c r="A2605"/>
      <c r="B2605"/>
      <c r="F2605"/>
      <c r="G2605"/>
      <c r="H2605"/>
      <c r="I2605" s="97"/>
      <c r="J2605"/>
      <c r="K2605"/>
    </row>
    <row r="2606" spans="1:11" s="21" customFormat="1">
      <c r="A2606"/>
      <c r="B2606"/>
      <c r="F2606"/>
      <c r="G2606"/>
      <c r="H2606"/>
      <c r="I2606" s="97"/>
      <c r="J2606"/>
      <c r="K2606"/>
    </row>
    <row r="2607" spans="1:11" s="21" customFormat="1">
      <c r="A2607"/>
      <c r="B2607"/>
      <c r="F2607"/>
      <c r="G2607"/>
      <c r="H2607"/>
      <c r="I2607" s="97"/>
      <c r="J2607"/>
      <c r="K2607"/>
    </row>
    <row r="2608" spans="1:11" s="21" customFormat="1">
      <c r="A2608"/>
      <c r="B2608"/>
      <c r="F2608"/>
      <c r="G2608"/>
      <c r="H2608"/>
      <c r="I2608" s="97"/>
      <c r="J2608"/>
      <c r="K2608"/>
    </row>
    <row r="2609" spans="1:11" s="21" customFormat="1">
      <c r="A2609"/>
      <c r="B2609"/>
      <c r="F2609"/>
      <c r="G2609"/>
      <c r="H2609"/>
      <c r="I2609" s="97"/>
      <c r="J2609"/>
      <c r="K2609"/>
    </row>
    <row r="2610" spans="1:11" s="21" customFormat="1">
      <c r="A2610"/>
      <c r="B2610"/>
      <c r="F2610"/>
      <c r="G2610"/>
      <c r="H2610"/>
      <c r="I2610" s="97"/>
      <c r="J2610"/>
      <c r="K2610"/>
    </row>
    <row r="2611" spans="1:11" s="21" customFormat="1">
      <c r="A2611"/>
      <c r="B2611"/>
      <c r="F2611"/>
      <c r="G2611"/>
      <c r="H2611"/>
      <c r="I2611" s="97"/>
      <c r="J2611"/>
      <c r="K2611"/>
    </row>
    <row r="2612" spans="1:11" s="21" customFormat="1">
      <c r="A2612"/>
      <c r="B2612"/>
      <c r="F2612"/>
      <c r="G2612"/>
      <c r="H2612"/>
      <c r="I2612" s="97"/>
      <c r="J2612"/>
      <c r="K2612"/>
    </row>
    <row r="2613" spans="1:11" s="21" customFormat="1">
      <c r="A2613"/>
      <c r="B2613"/>
      <c r="F2613"/>
      <c r="G2613"/>
      <c r="H2613"/>
      <c r="I2613" s="97"/>
      <c r="J2613"/>
      <c r="K2613"/>
    </row>
    <row r="2614" spans="1:11" s="21" customFormat="1">
      <c r="A2614"/>
      <c r="B2614"/>
      <c r="F2614"/>
      <c r="G2614"/>
      <c r="H2614"/>
      <c r="I2614" s="97"/>
      <c r="J2614"/>
      <c r="K2614"/>
    </row>
    <row r="2615" spans="1:11" s="21" customFormat="1">
      <c r="A2615"/>
      <c r="B2615"/>
      <c r="F2615"/>
      <c r="G2615"/>
      <c r="H2615"/>
      <c r="I2615" s="97"/>
      <c r="J2615"/>
      <c r="K2615"/>
    </row>
    <row r="2616" spans="1:11" s="21" customFormat="1">
      <c r="A2616"/>
      <c r="B2616"/>
      <c r="F2616"/>
      <c r="G2616"/>
      <c r="H2616"/>
      <c r="I2616" s="97"/>
      <c r="J2616"/>
      <c r="K2616"/>
    </row>
    <row r="2617" spans="1:11" s="21" customFormat="1">
      <c r="A2617"/>
      <c r="B2617"/>
      <c r="F2617"/>
      <c r="G2617"/>
      <c r="H2617"/>
      <c r="I2617" s="97"/>
      <c r="J2617"/>
      <c r="K2617"/>
    </row>
    <row r="2618" spans="1:11" s="21" customFormat="1">
      <c r="A2618"/>
      <c r="B2618"/>
      <c r="F2618"/>
      <c r="G2618"/>
      <c r="H2618"/>
      <c r="I2618" s="97"/>
      <c r="J2618"/>
      <c r="K2618"/>
    </row>
    <row r="2619" spans="1:11" s="21" customFormat="1">
      <c r="A2619"/>
      <c r="B2619"/>
      <c r="F2619"/>
      <c r="G2619"/>
      <c r="H2619"/>
      <c r="I2619" s="97"/>
      <c r="J2619"/>
      <c r="K2619"/>
    </row>
    <row r="2620" spans="1:11" s="21" customFormat="1">
      <c r="A2620"/>
      <c r="B2620"/>
      <c r="F2620"/>
      <c r="G2620"/>
      <c r="H2620"/>
      <c r="I2620" s="97"/>
      <c r="J2620"/>
      <c r="K2620"/>
    </row>
    <row r="2621" spans="1:11" s="21" customFormat="1">
      <c r="A2621"/>
      <c r="B2621"/>
      <c r="F2621"/>
      <c r="G2621"/>
      <c r="H2621"/>
      <c r="I2621" s="97"/>
      <c r="J2621"/>
      <c r="K2621"/>
    </row>
    <row r="2622" spans="1:11" s="21" customFormat="1">
      <c r="A2622"/>
      <c r="B2622"/>
      <c r="F2622"/>
      <c r="G2622"/>
      <c r="H2622"/>
      <c r="I2622" s="97"/>
      <c r="J2622"/>
      <c r="K2622"/>
    </row>
    <row r="2623" spans="1:11" s="21" customFormat="1">
      <c r="A2623"/>
      <c r="B2623"/>
      <c r="F2623"/>
      <c r="G2623"/>
      <c r="H2623"/>
      <c r="I2623" s="97"/>
      <c r="J2623"/>
      <c r="K2623"/>
    </row>
    <row r="2624" spans="1:11" s="21" customFormat="1">
      <c r="A2624"/>
      <c r="B2624"/>
      <c r="F2624"/>
      <c r="G2624"/>
      <c r="H2624"/>
      <c r="I2624" s="97"/>
      <c r="J2624"/>
      <c r="K2624"/>
    </row>
    <row r="2625" spans="1:11" s="21" customFormat="1">
      <c r="A2625"/>
      <c r="B2625"/>
      <c r="F2625"/>
      <c r="G2625"/>
      <c r="H2625"/>
      <c r="I2625" s="97"/>
      <c r="J2625"/>
      <c r="K2625"/>
    </row>
    <row r="2626" spans="1:11" s="21" customFormat="1">
      <c r="A2626"/>
      <c r="B2626"/>
      <c r="F2626"/>
      <c r="G2626"/>
      <c r="H2626"/>
      <c r="I2626" s="97"/>
      <c r="J2626"/>
      <c r="K2626"/>
    </row>
    <row r="2627" spans="1:11" s="21" customFormat="1">
      <c r="A2627"/>
      <c r="B2627"/>
      <c r="F2627"/>
      <c r="G2627"/>
      <c r="H2627"/>
      <c r="I2627" s="97"/>
      <c r="J2627"/>
      <c r="K2627"/>
    </row>
    <row r="2628" spans="1:11" s="21" customFormat="1">
      <c r="A2628"/>
      <c r="B2628"/>
      <c r="F2628"/>
      <c r="G2628"/>
      <c r="H2628"/>
      <c r="I2628" s="97"/>
      <c r="J2628"/>
      <c r="K2628"/>
    </row>
    <row r="2629" spans="1:11" s="21" customFormat="1">
      <c r="A2629"/>
      <c r="B2629"/>
      <c r="F2629"/>
      <c r="G2629"/>
      <c r="H2629"/>
      <c r="I2629" s="97"/>
      <c r="J2629"/>
      <c r="K2629"/>
    </row>
    <row r="2630" spans="1:11" s="21" customFormat="1">
      <c r="A2630"/>
      <c r="B2630"/>
      <c r="F2630"/>
      <c r="G2630"/>
      <c r="H2630"/>
      <c r="I2630" s="97"/>
      <c r="J2630"/>
      <c r="K2630"/>
    </row>
    <row r="2631" spans="1:11" s="21" customFormat="1">
      <c r="A2631"/>
      <c r="B2631"/>
      <c r="F2631"/>
      <c r="G2631"/>
      <c r="H2631"/>
      <c r="I2631" s="97"/>
      <c r="J2631"/>
      <c r="K2631"/>
    </row>
    <row r="2632" spans="1:11" s="21" customFormat="1">
      <c r="A2632"/>
      <c r="B2632"/>
      <c r="F2632"/>
      <c r="G2632"/>
      <c r="H2632"/>
      <c r="I2632" s="97"/>
      <c r="J2632"/>
      <c r="K2632"/>
    </row>
    <row r="2633" spans="1:11" s="21" customFormat="1">
      <c r="A2633"/>
      <c r="B2633"/>
      <c r="F2633"/>
      <c r="G2633"/>
      <c r="H2633"/>
      <c r="I2633" s="97"/>
      <c r="J2633"/>
      <c r="K2633"/>
    </row>
    <row r="2634" spans="1:11" s="21" customFormat="1">
      <c r="A2634"/>
      <c r="B2634"/>
      <c r="F2634"/>
      <c r="G2634"/>
      <c r="H2634"/>
      <c r="I2634" s="97"/>
      <c r="J2634"/>
      <c r="K2634"/>
    </row>
    <row r="2635" spans="1:11" s="21" customFormat="1">
      <c r="A2635"/>
      <c r="B2635"/>
      <c r="F2635"/>
      <c r="G2635"/>
      <c r="H2635"/>
      <c r="I2635" s="97"/>
      <c r="J2635"/>
      <c r="K2635"/>
    </row>
    <row r="2636" spans="1:11" s="21" customFormat="1">
      <c r="A2636"/>
      <c r="B2636"/>
      <c r="F2636"/>
      <c r="G2636"/>
      <c r="H2636"/>
      <c r="I2636" s="97"/>
      <c r="J2636"/>
      <c r="K2636"/>
    </row>
    <row r="2637" spans="1:11" s="21" customFormat="1">
      <c r="A2637"/>
      <c r="B2637"/>
      <c r="F2637"/>
      <c r="G2637"/>
      <c r="H2637"/>
      <c r="I2637" s="97"/>
      <c r="J2637"/>
      <c r="K2637"/>
    </row>
    <row r="2638" spans="1:11" s="21" customFormat="1">
      <c r="A2638"/>
      <c r="B2638"/>
      <c r="F2638"/>
      <c r="G2638"/>
      <c r="H2638"/>
      <c r="I2638" s="97"/>
      <c r="J2638"/>
      <c r="K2638"/>
    </row>
    <row r="2639" spans="1:11" s="21" customFormat="1">
      <c r="A2639"/>
      <c r="B2639"/>
      <c r="F2639"/>
      <c r="G2639"/>
      <c r="H2639"/>
      <c r="I2639" s="97"/>
      <c r="J2639"/>
      <c r="K2639"/>
    </row>
    <row r="2640" spans="1:11" s="21" customFormat="1">
      <c r="A2640"/>
      <c r="B2640"/>
      <c r="F2640"/>
      <c r="G2640"/>
      <c r="H2640"/>
      <c r="I2640" s="97"/>
      <c r="J2640"/>
      <c r="K2640"/>
    </row>
    <row r="2641" spans="1:11" s="21" customFormat="1">
      <c r="A2641"/>
      <c r="B2641"/>
      <c r="F2641"/>
      <c r="G2641"/>
      <c r="H2641"/>
      <c r="I2641" s="97"/>
      <c r="J2641"/>
      <c r="K2641"/>
    </row>
    <row r="2642" spans="1:11" s="21" customFormat="1">
      <c r="A2642"/>
      <c r="B2642"/>
      <c r="F2642"/>
      <c r="G2642"/>
      <c r="H2642"/>
      <c r="I2642" s="97"/>
      <c r="J2642"/>
      <c r="K2642"/>
    </row>
    <row r="2643" spans="1:11" s="21" customFormat="1">
      <c r="A2643"/>
      <c r="B2643"/>
      <c r="F2643"/>
      <c r="G2643"/>
      <c r="H2643"/>
      <c r="I2643" s="97"/>
      <c r="J2643"/>
      <c r="K2643"/>
    </row>
    <row r="2644" spans="1:11" s="21" customFormat="1">
      <c r="A2644"/>
      <c r="B2644"/>
      <c r="F2644"/>
      <c r="G2644"/>
      <c r="H2644"/>
      <c r="I2644" s="97"/>
      <c r="J2644"/>
      <c r="K2644"/>
    </row>
    <row r="2645" spans="1:11" s="21" customFormat="1">
      <c r="A2645"/>
      <c r="B2645"/>
      <c r="F2645"/>
      <c r="G2645"/>
      <c r="H2645"/>
      <c r="I2645" s="97"/>
      <c r="J2645"/>
      <c r="K2645"/>
    </row>
    <row r="2646" spans="1:11" s="21" customFormat="1">
      <c r="A2646"/>
      <c r="B2646"/>
      <c r="F2646"/>
      <c r="G2646"/>
      <c r="H2646"/>
      <c r="I2646" s="97"/>
      <c r="J2646"/>
      <c r="K2646"/>
    </row>
    <row r="2647" spans="1:11" s="21" customFormat="1">
      <c r="A2647"/>
      <c r="B2647"/>
      <c r="F2647"/>
      <c r="G2647"/>
      <c r="H2647"/>
      <c r="I2647" s="97"/>
      <c r="J2647"/>
      <c r="K2647"/>
    </row>
    <row r="2648" spans="1:11" s="21" customFormat="1">
      <c r="A2648"/>
      <c r="B2648"/>
      <c r="F2648"/>
      <c r="G2648"/>
      <c r="H2648"/>
      <c r="I2648" s="97"/>
      <c r="J2648"/>
      <c r="K2648"/>
    </row>
    <row r="2649" spans="1:11" s="21" customFormat="1">
      <c r="A2649"/>
      <c r="B2649"/>
      <c r="F2649"/>
      <c r="G2649"/>
      <c r="H2649"/>
      <c r="I2649" s="97"/>
      <c r="J2649"/>
      <c r="K2649"/>
    </row>
    <row r="2650" spans="1:11" s="21" customFormat="1">
      <c r="A2650"/>
      <c r="B2650"/>
      <c r="F2650"/>
      <c r="G2650"/>
      <c r="H2650"/>
      <c r="I2650" s="97"/>
      <c r="J2650"/>
      <c r="K2650"/>
    </row>
    <row r="2651" spans="1:11" s="21" customFormat="1">
      <c r="A2651"/>
      <c r="B2651"/>
      <c r="F2651"/>
      <c r="G2651"/>
      <c r="H2651"/>
      <c r="I2651" s="97"/>
      <c r="J2651"/>
      <c r="K2651"/>
    </row>
    <row r="2652" spans="1:11" s="21" customFormat="1">
      <c r="A2652"/>
      <c r="B2652"/>
      <c r="F2652"/>
      <c r="G2652"/>
      <c r="H2652"/>
      <c r="I2652" s="97"/>
      <c r="J2652"/>
      <c r="K2652"/>
    </row>
    <row r="2653" spans="1:11" s="21" customFormat="1">
      <c r="A2653"/>
      <c r="B2653"/>
      <c r="F2653"/>
      <c r="G2653"/>
      <c r="H2653"/>
      <c r="I2653" s="97"/>
      <c r="J2653"/>
      <c r="K2653"/>
    </row>
    <row r="2654" spans="1:11" s="21" customFormat="1">
      <c r="A2654"/>
      <c r="B2654"/>
      <c r="F2654"/>
      <c r="G2654"/>
      <c r="H2654"/>
      <c r="I2654" s="97"/>
      <c r="J2654"/>
      <c r="K2654"/>
    </row>
    <row r="2655" spans="1:11" s="21" customFormat="1">
      <c r="A2655"/>
      <c r="B2655"/>
      <c r="F2655"/>
      <c r="G2655"/>
      <c r="H2655"/>
      <c r="I2655" s="97"/>
      <c r="J2655"/>
      <c r="K2655"/>
    </row>
    <row r="2656" spans="1:11" s="21" customFormat="1">
      <c r="A2656"/>
      <c r="B2656"/>
      <c r="F2656"/>
      <c r="G2656"/>
      <c r="H2656"/>
      <c r="I2656" s="97"/>
      <c r="J2656"/>
      <c r="K2656"/>
    </row>
    <row r="2657" spans="1:11" s="21" customFormat="1">
      <c r="A2657"/>
      <c r="B2657"/>
      <c r="F2657"/>
      <c r="G2657"/>
      <c r="H2657"/>
      <c r="I2657" s="97"/>
      <c r="J2657"/>
      <c r="K2657"/>
    </row>
    <row r="2658" spans="1:11" s="21" customFormat="1">
      <c r="A2658"/>
      <c r="B2658"/>
      <c r="F2658"/>
      <c r="G2658"/>
      <c r="H2658"/>
      <c r="I2658" s="97"/>
      <c r="J2658"/>
      <c r="K2658"/>
    </row>
    <row r="2659" spans="1:11" s="21" customFormat="1">
      <c r="A2659"/>
      <c r="B2659"/>
      <c r="F2659"/>
      <c r="G2659"/>
      <c r="H2659"/>
      <c r="I2659" s="97"/>
      <c r="J2659"/>
      <c r="K2659"/>
    </row>
    <row r="2660" spans="1:11" s="21" customFormat="1">
      <c r="A2660"/>
      <c r="B2660"/>
      <c r="F2660"/>
      <c r="G2660"/>
      <c r="H2660"/>
      <c r="I2660" s="97"/>
      <c r="J2660"/>
      <c r="K2660"/>
    </row>
    <row r="2661" spans="1:11" s="21" customFormat="1">
      <c r="A2661"/>
      <c r="B2661"/>
      <c r="F2661"/>
      <c r="G2661"/>
      <c r="H2661"/>
      <c r="I2661" s="97"/>
      <c r="J2661"/>
      <c r="K2661"/>
    </row>
    <row r="2662" spans="1:11" s="21" customFormat="1">
      <c r="A2662"/>
      <c r="B2662"/>
      <c r="F2662"/>
      <c r="G2662"/>
      <c r="H2662"/>
      <c r="I2662" s="97"/>
      <c r="J2662"/>
      <c r="K2662"/>
    </row>
    <row r="2663" spans="1:11" s="21" customFormat="1">
      <c r="A2663"/>
      <c r="B2663"/>
      <c r="F2663"/>
      <c r="G2663"/>
      <c r="H2663"/>
      <c r="I2663" s="97"/>
      <c r="J2663"/>
      <c r="K2663"/>
    </row>
    <row r="2664" spans="1:11" s="21" customFormat="1">
      <c r="A2664"/>
      <c r="B2664"/>
      <c r="F2664"/>
      <c r="G2664"/>
      <c r="H2664"/>
      <c r="I2664" s="97"/>
      <c r="J2664"/>
      <c r="K2664"/>
    </row>
    <row r="2665" spans="1:11" s="21" customFormat="1">
      <c r="A2665"/>
      <c r="B2665"/>
      <c r="F2665"/>
      <c r="G2665"/>
      <c r="H2665"/>
      <c r="I2665" s="97"/>
      <c r="J2665"/>
      <c r="K2665"/>
    </row>
    <row r="2666" spans="1:11" s="21" customFormat="1">
      <c r="A2666"/>
      <c r="B2666"/>
      <c r="F2666"/>
      <c r="G2666"/>
      <c r="H2666"/>
      <c r="I2666" s="97"/>
      <c r="J2666"/>
      <c r="K2666"/>
    </row>
    <row r="2667" spans="1:11" s="21" customFormat="1">
      <c r="A2667"/>
      <c r="B2667"/>
      <c r="F2667"/>
      <c r="G2667"/>
      <c r="H2667"/>
      <c r="I2667" s="97"/>
      <c r="J2667"/>
      <c r="K2667"/>
    </row>
    <row r="2668" spans="1:11" s="21" customFormat="1">
      <c r="A2668"/>
      <c r="B2668"/>
      <c r="F2668"/>
      <c r="G2668"/>
      <c r="H2668"/>
      <c r="I2668" s="97"/>
      <c r="J2668"/>
      <c r="K2668"/>
    </row>
    <row r="2669" spans="1:11" s="21" customFormat="1">
      <c r="A2669"/>
      <c r="B2669"/>
      <c r="F2669"/>
      <c r="G2669"/>
      <c r="H2669"/>
      <c r="I2669" s="97"/>
      <c r="J2669"/>
      <c r="K2669"/>
    </row>
    <row r="2670" spans="1:11" s="21" customFormat="1">
      <c r="A2670"/>
      <c r="B2670"/>
      <c r="F2670"/>
      <c r="G2670"/>
      <c r="H2670"/>
      <c r="I2670" s="97"/>
      <c r="J2670"/>
      <c r="K2670"/>
    </row>
    <row r="2671" spans="1:11" s="21" customFormat="1">
      <c r="A2671"/>
      <c r="B2671"/>
      <c r="F2671"/>
      <c r="G2671"/>
      <c r="H2671"/>
      <c r="I2671" s="97"/>
      <c r="J2671"/>
      <c r="K2671"/>
    </row>
    <row r="2672" spans="1:11" s="21" customFormat="1">
      <c r="A2672"/>
      <c r="B2672"/>
      <c r="F2672"/>
      <c r="G2672"/>
      <c r="H2672"/>
      <c r="I2672" s="97"/>
      <c r="J2672"/>
      <c r="K2672"/>
    </row>
    <row r="2673" spans="1:11" s="21" customFormat="1">
      <c r="A2673"/>
      <c r="B2673"/>
      <c r="F2673"/>
      <c r="G2673"/>
      <c r="H2673"/>
      <c r="I2673" s="97"/>
      <c r="J2673"/>
      <c r="K2673"/>
    </row>
    <row r="2674" spans="1:11" s="21" customFormat="1">
      <c r="A2674"/>
      <c r="B2674"/>
      <c r="F2674"/>
      <c r="G2674"/>
      <c r="H2674"/>
      <c r="I2674" s="97"/>
      <c r="J2674"/>
      <c r="K2674"/>
    </row>
    <row r="2675" spans="1:11" s="21" customFormat="1">
      <c r="A2675"/>
      <c r="B2675"/>
      <c r="F2675"/>
      <c r="G2675"/>
      <c r="H2675"/>
      <c r="I2675" s="97"/>
      <c r="J2675"/>
      <c r="K2675"/>
    </row>
    <row r="2676" spans="1:11" s="21" customFormat="1">
      <c r="A2676"/>
      <c r="B2676"/>
      <c r="F2676"/>
      <c r="G2676"/>
      <c r="H2676"/>
      <c r="I2676" s="97"/>
      <c r="J2676"/>
      <c r="K2676"/>
    </row>
    <row r="2677" spans="1:11" s="21" customFormat="1">
      <c r="A2677"/>
      <c r="B2677"/>
      <c r="F2677"/>
      <c r="G2677"/>
      <c r="H2677"/>
      <c r="I2677" s="97"/>
      <c r="J2677"/>
      <c r="K2677"/>
    </row>
    <row r="2678" spans="1:11" s="21" customFormat="1">
      <c r="A2678"/>
      <c r="B2678"/>
      <c r="F2678"/>
      <c r="G2678"/>
      <c r="H2678"/>
      <c r="I2678" s="97"/>
      <c r="J2678"/>
      <c r="K2678"/>
    </row>
    <row r="2679" spans="1:11" s="21" customFormat="1">
      <c r="A2679"/>
      <c r="B2679"/>
      <c r="F2679"/>
      <c r="G2679"/>
      <c r="H2679"/>
      <c r="I2679" s="97"/>
      <c r="J2679"/>
      <c r="K2679"/>
    </row>
    <row r="2680" spans="1:11" s="21" customFormat="1">
      <c r="A2680"/>
      <c r="B2680"/>
      <c r="F2680"/>
      <c r="G2680"/>
      <c r="H2680"/>
      <c r="I2680" s="97"/>
      <c r="J2680"/>
      <c r="K2680"/>
    </row>
    <row r="2681" spans="1:11" s="21" customFormat="1">
      <c r="A2681"/>
      <c r="B2681"/>
      <c r="F2681"/>
      <c r="G2681"/>
      <c r="H2681"/>
      <c r="I2681" s="97"/>
      <c r="J2681"/>
      <c r="K2681"/>
    </row>
    <row r="2682" spans="1:11" s="21" customFormat="1">
      <c r="A2682"/>
      <c r="B2682"/>
      <c r="F2682"/>
      <c r="G2682"/>
      <c r="H2682"/>
      <c r="I2682" s="97"/>
      <c r="J2682"/>
      <c r="K2682"/>
    </row>
    <row r="2683" spans="1:11" s="21" customFormat="1">
      <c r="A2683"/>
      <c r="B2683"/>
      <c r="F2683"/>
      <c r="G2683"/>
      <c r="H2683"/>
      <c r="I2683" s="97"/>
      <c r="J2683"/>
      <c r="K2683"/>
    </row>
    <row r="2684" spans="1:11" s="21" customFormat="1">
      <c r="A2684"/>
      <c r="B2684"/>
      <c r="F2684"/>
      <c r="G2684"/>
      <c r="H2684"/>
      <c r="I2684" s="97"/>
      <c r="J2684"/>
      <c r="K2684"/>
    </row>
    <row r="2685" spans="1:11" s="21" customFormat="1">
      <c r="A2685"/>
      <c r="B2685"/>
      <c r="F2685"/>
      <c r="G2685"/>
      <c r="H2685"/>
      <c r="I2685" s="97"/>
      <c r="J2685"/>
      <c r="K2685"/>
    </row>
    <row r="2686" spans="1:11" s="21" customFormat="1">
      <c r="A2686"/>
      <c r="B2686"/>
      <c r="F2686"/>
      <c r="G2686"/>
      <c r="H2686"/>
      <c r="I2686" s="97"/>
      <c r="J2686"/>
      <c r="K2686"/>
    </row>
    <row r="2687" spans="1:11" s="21" customFormat="1">
      <c r="A2687"/>
      <c r="B2687"/>
      <c r="F2687"/>
      <c r="G2687"/>
      <c r="H2687"/>
      <c r="I2687" s="97"/>
      <c r="J2687"/>
      <c r="K2687"/>
    </row>
    <row r="2688" spans="1:11" s="21" customFormat="1">
      <c r="A2688"/>
      <c r="B2688"/>
      <c r="F2688"/>
      <c r="G2688"/>
      <c r="H2688"/>
      <c r="I2688" s="97"/>
      <c r="J2688"/>
      <c r="K2688"/>
    </row>
    <row r="2689" spans="1:11" s="21" customFormat="1">
      <c r="A2689"/>
      <c r="B2689"/>
      <c r="F2689"/>
      <c r="G2689"/>
      <c r="H2689"/>
      <c r="I2689" s="97"/>
      <c r="J2689"/>
      <c r="K2689"/>
    </row>
    <row r="2690" spans="1:11" s="21" customFormat="1">
      <c r="A2690"/>
      <c r="B2690"/>
      <c r="F2690"/>
      <c r="G2690"/>
      <c r="H2690"/>
      <c r="I2690" s="97"/>
      <c r="J2690"/>
      <c r="K2690"/>
    </row>
    <row r="2691" spans="1:11" s="21" customFormat="1">
      <c r="A2691"/>
      <c r="B2691"/>
      <c r="F2691"/>
      <c r="G2691"/>
      <c r="H2691"/>
      <c r="I2691" s="97"/>
      <c r="J2691"/>
      <c r="K2691"/>
    </row>
    <row r="2692" spans="1:11" s="21" customFormat="1">
      <c r="A2692"/>
      <c r="B2692"/>
      <c r="F2692"/>
      <c r="G2692"/>
      <c r="H2692"/>
      <c r="I2692" s="97"/>
      <c r="J2692"/>
      <c r="K2692"/>
    </row>
    <row r="2693" spans="1:11" s="21" customFormat="1">
      <c r="A2693"/>
      <c r="B2693"/>
      <c r="F2693"/>
      <c r="G2693"/>
      <c r="H2693"/>
      <c r="I2693" s="97"/>
      <c r="J2693"/>
      <c r="K2693"/>
    </row>
    <row r="2694" spans="1:11" s="21" customFormat="1">
      <c r="A2694"/>
      <c r="B2694"/>
      <c r="F2694"/>
      <c r="G2694"/>
      <c r="H2694"/>
      <c r="I2694" s="97"/>
      <c r="J2694"/>
      <c r="K2694"/>
    </row>
    <row r="2695" spans="1:11" s="21" customFormat="1">
      <c r="A2695"/>
      <c r="B2695"/>
      <c r="F2695"/>
      <c r="G2695"/>
      <c r="H2695"/>
      <c r="I2695" s="97"/>
      <c r="J2695"/>
      <c r="K2695"/>
    </row>
    <row r="2696" spans="1:11" s="21" customFormat="1">
      <c r="A2696"/>
      <c r="B2696"/>
      <c r="F2696"/>
      <c r="G2696"/>
      <c r="H2696"/>
      <c r="I2696" s="97"/>
      <c r="J2696"/>
      <c r="K2696"/>
    </row>
    <row r="2697" spans="1:11" s="21" customFormat="1">
      <c r="A2697"/>
      <c r="B2697"/>
      <c r="F2697"/>
      <c r="G2697"/>
      <c r="H2697"/>
      <c r="I2697" s="97"/>
      <c r="J2697"/>
      <c r="K2697"/>
    </row>
    <row r="2698" spans="1:11" s="21" customFormat="1">
      <c r="A2698"/>
      <c r="B2698"/>
      <c r="F2698"/>
      <c r="G2698"/>
      <c r="H2698"/>
      <c r="I2698" s="97"/>
      <c r="J2698"/>
      <c r="K2698"/>
    </row>
    <row r="2699" spans="1:11" s="21" customFormat="1">
      <c r="A2699"/>
      <c r="B2699"/>
      <c r="F2699"/>
      <c r="G2699"/>
      <c r="H2699"/>
      <c r="I2699" s="97"/>
      <c r="J2699"/>
      <c r="K2699"/>
    </row>
    <row r="2700" spans="1:11" s="21" customFormat="1">
      <c r="A2700"/>
      <c r="B2700"/>
      <c r="F2700"/>
      <c r="G2700"/>
      <c r="H2700"/>
      <c r="I2700" s="97"/>
      <c r="J2700"/>
      <c r="K2700"/>
    </row>
    <row r="2701" spans="1:11" s="21" customFormat="1">
      <c r="A2701"/>
      <c r="B2701"/>
      <c r="F2701"/>
      <c r="G2701"/>
      <c r="H2701"/>
      <c r="I2701" s="97"/>
      <c r="J2701"/>
      <c r="K2701"/>
    </row>
    <row r="2702" spans="1:11" s="21" customFormat="1">
      <c r="A2702"/>
      <c r="B2702"/>
      <c r="F2702"/>
      <c r="G2702"/>
      <c r="H2702"/>
      <c r="I2702" s="97"/>
      <c r="J2702"/>
      <c r="K2702"/>
    </row>
    <row r="2703" spans="1:11" s="21" customFormat="1">
      <c r="A2703"/>
      <c r="B2703"/>
      <c r="F2703"/>
      <c r="G2703"/>
      <c r="H2703"/>
      <c r="I2703" s="97"/>
      <c r="J2703"/>
      <c r="K2703"/>
    </row>
    <row r="2704" spans="1:11" s="21" customFormat="1">
      <c r="A2704"/>
      <c r="B2704"/>
      <c r="F2704"/>
      <c r="G2704"/>
      <c r="H2704"/>
      <c r="I2704" s="97"/>
      <c r="J2704"/>
      <c r="K2704"/>
    </row>
    <row r="2705" spans="1:11" s="21" customFormat="1">
      <c r="A2705"/>
      <c r="B2705"/>
      <c r="F2705"/>
      <c r="G2705"/>
      <c r="H2705"/>
      <c r="I2705" s="97"/>
      <c r="J2705"/>
      <c r="K2705"/>
    </row>
    <row r="2706" spans="1:11" s="21" customFormat="1">
      <c r="A2706"/>
      <c r="B2706"/>
      <c r="F2706"/>
      <c r="G2706"/>
      <c r="H2706"/>
      <c r="I2706" s="97"/>
      <c r="J2706"/>
      <c r="K2706"/>
    </row>
    <row r="2707" spans="1:11" s="21" customFormat="1">
      <c r="A2707"/>
      <c r="B2707"/>
      <c r="F2707"/>
      <c r="G2707"/>
      <c r="H2707"/>
      <c r="I2707" s="97"/>
      <c r="J2707"/>
      <c r="K2707"/>
    </row>
    <row r="2708" spans="1:11" s="21" customFormat="1">
      <c r="A2708"/>
      <c r="B2708"/>
      <c r="F2708"/>
      <c r="G2708"/>
      <c r="H2708"/>
      <c r="I2708" s="97"/>
      <c r="J2708"/>
      <c r="K2708"/>
    </row>
    <row r="2709" spans="1:11" s="21" customFormat="1">
      <c r="A2709"/>
      <c r="B2709"/>
      <c r="F2709"/>
      <c r="G2709"/>
      <c r="H2709"/>
      <c r="I2709" s="97"/>
      <c r="J2709"/>
      <c r="K2709"/>
    </row>
    <row r="2710" spans="1:11" s="21" customFormat="1">
      <c r="A2710"/>
      <c r="B2710"/>
      <c r="F2710"/>
      <c r="G2710"/>
      <c r="H2710"/>
      <c r="I2710" s="97"/>
      <c r="J2710"/>
      <c r="K2710"/>
    </row>
    <row r="2711" spans="1:11" s="21" customFormat="1">
      <c r="A2711"/>
      <c r="B2711"/>
      <c r="F2711"/>
      <c r="G2711"/>
      <c r="H2711"/>
      <c r="I2711" s="97"/>
      <c r="J2711"/>
      <c r="K2711"/>
    </row>
    <row r="2712" spans="1:11" s="21" customFormat="1">
      <c r="A2712"/>
      <c r="B2712"/>
      <c r="F2712"/>
      <c r="G2712"/>
      <c r="H2712"/>
      <c r="I2712" s="97"/>
      <c r="J2712"/>
      <c r="K2712"/>
    </row>
    <row r="2713" spans="1:11" s="21" customFormat="1">
      <c r="A2713"/>
      <c r="B2713"/>
      <c r="F2713"/>
      <c r="G2713"/>
      <c r="H2713"/>
      <c r="I2713" s="97"/>
      <c r="J2713"/>
      <c r="K2713"/>
    </row>
    <row r="2714" spans="1:11" s="21" customFormat="1">
      <c r="A2714"/>
      <c r="B2714"/>
      <c r="F2714"/>
      <c r="G2714"/>
      <c r="H2714"/>
      <c r="I2714" s="97"/>
      <c r="J2714"/>
      <c r="K2714"/>
    </row>
    <row r="2715" spans="1:11" s="21" customFormat="1">
      <c r="A2715"/>
      <c r="B2715"/>
      <c r="F2715"/>
      <c r="G2715"/>
      <c r="H2715"/>
      <c r="I2715" s="97"/>
      <c r="J2715"/>
      <c r="K2715"/>
    </row>
    <row r="2716" spans="1:11" s="21" customFormat="1">
      <c r="A2716"/>
      <c r="B2716"/>
      <c r="F2716"/>
      <c r="G2716"/>
      <c r="H2716"/>
      <c r="I2716" s="97"/>
      <c r="J2716"/>
      <c r="K2716"/>
    </row>
    <row r="2717" spans="1:11" s="21" customFormat="1">
      <c r="A2717"/>
      <c r="B2717"/>
      <c r="F2717"/>
      <c r="G2717"/>
      <c r="H2717"/>
      <c r="I2717" s="97"/>
      <c r="J2717"/>
      <c r="K2717"/>
    </row>
    <row r="2718" spans="1:11" s="21" customFormat="1">
      <c r="A2718"/>
      <c r="B2718"/>
      <c r="F2718"/>
      <c r="G2718"/>
      <c r="H2718"/>
      <c r="I2718" s="97"/>
      <c r="J2718"/>
      <c r="K2718"/>
    </row>
    <row r="2719" spans="1:11" s="21" customFormat="1">
      <c r="A2719"/>
      <c r="B2719"/>
      <c r="F2719"/>
      <c r="G2719"/>
      <c r="H2719"/>
      <c r="I2719" s="97"/>
      <c r="J2719"/>
      <c r="K2719"/>
    </row>
    <row r="2720" spans="1:11" s="21" customFormat="1">
      <c r="A2720"/>
      <c r="B2720"/>
      <c r="F2720"/>
      <c r="G2720"/>
      <c r="H2720"/>
      <c r="I2720" s="97"/>
      <c r="J2720"/>
      <c r="K2720"/>
    </row>
    <row r="2721" spans="1:11" s="21" customFormat="1">
      <c r="A2721"/>
      <c r="B2721"/>
      <c r="F2721"/>
      <c r="G2721"/>
      <c r="H2721"/>
      <c r="I2721" s="97"/>
      <c r="J2721"/>
      <c r="K2721"/>
    </row>
    <row r="2722" spans="1:11" s="21" customFormat="1">
      <c r="A2722"/>
      <c r="B2722"/>
      <c r="F2722"/>
      <c r="G2722"/>
      <c r="H2722"/>
      <c r="I2722" s="97"/>
      <c r="J2722"/>
      <c r="K2722"/>
    </row>
    <row r="2723" spans="1:11" s="21" customFormat="1">
      <c r="A2723"/>
      <c r="B2723"/>
      <c r="F2723"/>
      <c r="G2723"/>
      <c r="H2723"/>
      <c r="I2723" s="97"/>
      <c r="J2723"/>
      <c r="K2723"/>
    </row>
    <row r="2724" spans="1:11" s="21" customFormat="1">
      <c r="A2724"/>
      <c r="B2724"/>
      <c r="F2724"/>
      <c r="G2724"/>
      <c r="H2724"/>
      <c r="I2724" s="97"/>
      <c r="J2724"/>
      <c r="K2724"/>
    </row>
    <row r="2725" spans="1:11" s="21" customFormat="1">
      <c r="A2725"/>
      <c r="B2725"/>
      <c r="F2725"/>
      <c r="G2725"/>
      <c r="H2725"/>
      <c r="I2725" s="97"/>
      <c r="J2725"/>
      <c r="K2725"/>
    </row>
    <row r="2726" spans="1:11" s="21" customFormat="1">
      <c r="A2726"/>
      <c r="B2726"/>
      <c r="F2726"/>
      <c r="G2726"/>
      <c r="H2726"/>
      <c r="I2726" s="97"/>
      <c r="J2726"/>
      <c r="K2726"/>
    </row>
    <row r="2727" spans="1:11" s="21" customFormat="1">
      <c r="A2727"/>
      <c r="B2727"/>
      <c r="F2727"/>
      <c r="G2727"/>
      <c r="H2727"/>
      <c r="I2727" s="97"/>
      <c r="J2727"/>
      <c r="K2727"/>
    </row>
    <row r="2728" spans="1:11" s="21" customFormat="1">
      <c r="A2728"/>
      <c r="B2728"/>
      <c r="F2728"/>
      <c r="G2728"/>
      <c r="H2728"/>
      <c r="I2728" s="97"/>
      <c r="J2728"/>
      <c r="K2728"/>
    </row>
    <row r="2729" spans="1:11" s="21" customFormat="1">
      <c r="A2729"/>
      <c r="B2729"/>
      <c r="F2729"/>
      <c r="G2729"/>
      <c r="H2729"/>
      <c r="I2729" s="97"/>
      <c r="J2729"/>
      <c r="K2729"/>
    </row>
    <row r="2730" spans="1:11" s="21" customFormat="1">
      <c r="A2730"/>
      <c r="B2730"/>
      <c r="F2730"/>
      <c r="G2730"/>
      <c r="H2730"/>
      <c r="I2730" s="97"/>
      <c r="J2730"/>
      <c r="K2730"/>
    </row>
    <row r="2731" spans="1:11" s="21" customFormat="1">
      <c r="A2731"/>
      <c r="B2731"/>
      <c r="F2731"/>
      <c r="G2731"/>
      <c r="H2731"/>
      <c r="I2731" s="97"/>
      <c r="J2731"/>
      <c r="K2731"/>
    </row>
    <row r="2732" spans="1:11" s="21" customFormat="1">
      <c r="A2732"/>
      <c r="B2732"/>
      <c r="F2732"/>
      <c r="G2732"/>
      <c r="H2732"/>
      <c r="I2732" s="97"/>
      <c r="J2732"/>
      <c r="K2732"/>
    </row>
    <row r="2733" spans="1:11" s="21" customFormat="1">
      <c r="A2733"/>
      <c r="B2733"/>
      <c r="F2733"/>
      <c r="G2733"/>
      <c r="H2733"/>
      <c r="I2733" s="97"/>
      <c r="J2733"/>
      <c r="K2733"/>
    </row>
    <row r="2734" spans="1:11" s="21" customFormat="1">
      <c r="A2734"/>
      <c r="B2734"/>
      <c r="F2734"/>
      <c r="G2734"/>
      <c r="H2734"/>
      <c r="I2734" s="97"/>
      <c r="J2734"/>
      <c r="K2734"/>
    </row>
    <row r="2735" spans="1:11" s="21" customFormat="1">
      <c r="A2735"/>
      <c r="B2735"/>
      <c r="F2735"/>
      <c r="G2735"/>
      <c r="H2735"/>
      <c r="I2735" s="97"/>
      <c r="J2735"/>
      <c r="K2735"/>
    </row>
    <row r="2736" spans="1:11" s="21" customFormat="1">
      <c r="A2736"/>
      <c r="B2736"/>
      <c r="F2736"/>
      <c r="G2736"/>
      <c r="H2736"/>
      <c r="I2736" s="97"/>
      <c r="J2736"/>
      <c r="K2736"/>
    </row>
    <row r="2737" spans="1:11" s="21" customFormat="1">
      <c r="A2737"/>
      <c r="B2737"/>
      <c r="F2737"/>
      <c r="G2737"/>
      <c r="H2737"/>
      <c r="I2737" s="97"/>
      <c r="J2737"/>
      <c r="K2737"/>
    </row>
    <row r="2738" spans="1:11" s="21" customFormat="1">
      <c r="A2738"/>
      <c r="B2738"/>
      <c r="F2738"/>
      <c r="G2738"/>
      <c r="H2738"/>
      <c r="I2738" s="97"/>
      <c r="J2738"/>
      <c r="K2738"/>
    </row>
    <row r="2739" spans="1:11" s="21" customFormat="1">
      <c r="A2739"/>
      <c r="B2739"/>
      <c r="F2739"/>
      <c r="G2739"/>
      <c r="H2739"/>
      <c r="I2739" s="97"/>
      <c r="J2739"/>
      <c r="K2739"/>
    </row>
    <row r="2740" spans="1:11" s="21" customFormat="1">
      <c r="A2740"/>
      <c r="B2740"/>
      <c r="F2740"/>
      <c r="G2740"/>
      <c r="H2740"/>
      <c r="I2740" s="97"/>
      <c r="J2740"/>
      <c r="K2740"/>
    </row>
    <row r="2741" spans="1:11" s="21" customFormat="1">
      <c r="A2741"/>
      <c r="B2741"/>
      <c r="F2741"/>
      <c r="G2741"/>
      <c r="H2741"/>
      <c r="I2741" s="97"/>
      <c r="J2741"/>
      <c r="K2741"/>
    </row>
    <row r="2742" spans="1:11" s="21" customFormat="1">
      <c r="A2742"/>
      <c r="B2742"/>
      <c r="F2742"/>
      <c r="G2742"/>
      <c r="H2742"/>
      <c r="I2742" s="97"/>
      <c r="J2742"/>
      <c r="K2742"/>
    </row>
    <row r="2743" spans="1:11" s="21" customFormat="1">
      <c r="A2743"/>
      <c r="B2743"/>
      <c r="F2743"/>
      <c r="G2743"/>
      <c r="H2743"/>
      <c r="I2743" s="97"/>
      <c r="J2743"/>
      <c r="K2743"/>
    </row>
    <row r="2744" spans="1:11" s="21" customFormat="1">
      <c r="A2744"/>
      <c r="B2744"/>
      <c r="F2744"/>
      <c r="G2744"/>
      <c r="H2744"/>
      <c r="I2744" s="97"/>
      <c r="J2744"/>
      <c r="K2744"/>
    </row>
    <row r="2745" spans="1:11" s="21" customFormat="1">
      <c r="A2745"/>
      <c r="B2745"/>
      <c r="F2745"/>
      <c r="G2745"/>
      <c r="H2745"/>
      <c r="I2745" s="97"/>
      <c r="J2745"/>
      <c r="K2745"/>
    </row>
    <row r="2746" spans="1:11" s="21" customFormat="1">
      <c r="A2746"/>
      <c r="B2746"/>
      <c r="F2746"/>
      <c r="G2746"/>
      <c r="H2746"/>
      <c r="I2746" s="97"/>
      <c r="J2746"/>
      <c r="K2746"/>
    </row>
    <row r="2747" spans="1:11" s="21" customFormat="1">
      <c r="A2747"/>
      <c r="B2747"/>
      <c r="F2747"/>
      <c r="G2747"/>
      <c r="H2747"/>
      <c r="I2747" s="97"/>
      <c r="J2747"/>
      <c r="K2747"/>
    </row>
    <row r="2748" spans="1:11" s="21" customFormat="1">
      <c r="A2748"/>
      <c r="B2748"/>
      <c r="F2748"/>
      <c r="G2748"/>
      <c r="H2748"/>
      <c r="I2748" s="97"/>
      <c r="J2748"/>
      <c r="K2748"/>
    </row>
    <row r="2749" spans="1:11" s="21" customFormat="1">
      <c r="A2749"/>
      <c r="B2749"/>
      <c r="F2749"/>
      <c r="G2749"/>
      <c r="H2749"/>
      <c r="I2749" s="97"/>
      <c r="J2749"/>
      <c r="K2749"/>
    </row>
    <row r="2750" spans="1:11" s="21" customFormat="1">
      <c r="A2750"/>
      <c r="B2750"/>
      <c r="F2750"/>
      <c r="G2750"/>
      <c r="H2750"/>
      <c r="I2750" s="97"/>
      <c r="J2750"/>
      <c r="K2750"/>
    </row>
    <row r="2751" spans="1:11" s="21" customFormat="1">
      <c r="A2751"/>
      <c r="B2751"/>
      <c r="F2751"/>
      <c r="G2751"/>
      <c r="H2751"/>
      <c r="I2751" s="97"/>
      <c r="J2751"/>
      <c r="K2751"/>
    </row>
    <row r="2752" spans="1:11" s="21" customFormat="1">
      <c r="A2752"/>
      <c r="B2752"/>
      <c r="F2752"/>
      <c r="G2752"/>
      <c r="H2752"/>
      <c r="I2752" s="97"/>
      <c r="J2752"/>
      <c r="K2752"/>
    </row>
    <row r="2753" spans="1:11" s="21" customFormat="1">
      <c r="A2753"/>
      <c r="B2753"/>
      <c r="F2753"/>
      <c r="G2753"/>
      <c r="H2753"/>
      <c r="I2753" s="97"/>
      <c r="J2753"/>
      <c r="K2753"/>
    </row>
    <row r="2754" spans="1:11" s="21" customFormat="1">
      <c r="A2754"/>
      <c r="B2754"/>
      <c r="F2754"/>
      <c r="G2754"/>
      <c r="H2754"/>
      <c r="I2754" s="97"/>
      <c r="J2754"/>
      <c r="K2754"/>
    </row>
    <row r="2755" spans="1:11" s="21" customFormat="1">
      <c r="A2755"/>
      <c r="B2755"/>
      <c r="F2755"/>
      <c r="G2755"/>
      <c r="H2755"/>
      <c r="I2755" s="97"/>
      <c r="J2755"/>
      <c r="K2755"/>
    </row>
    <row r="2756" spans="1:11" s="21" customFormat="1">
      <c r="A2756"/>
      <c r="B2756"/>
      <c r="F2756"/>
      <c r="G2756"/>
      <c r="H2756"/>
      <c r="I2756" s="97"/>
      <c r="J2756"/>
      <c r="K2756"/>
    </row>
    <row r="2757" spans="1:11" s="21" customFormat="1">
      <c r="A2757"/>
      <c r="B2757"/>
      <c r="F2757"/>
      <c r="G2757"/>
      <c r="H2757"/>
      <c r="I2757" s="97"/>
      <c r="J2757"/>
      <c r="K2757"/>
    </row>
    <row r="2758" spans="1:11" s="21" customFormat="1">
      <c r="A2758"/>
      <c r="B2758"/>
      <c r="F2758"/>
      <c r="G2758"/>
      <c r="H2758"/>
      <c r="I2758" s="97"/>
      <c r="J2758"/>
      <c r="K2758"/>
    </row>
    <row r="2759" spans="1:11" s="21" customFormat="1">
      <c r="A2759"/>
      <c r="B2759"/>
      <c r="F2759"/>
      <c r="G2759"/>
      <c r="H2759"/>
      <c r="I2759" s="97"/>
      <c r="J2759"/>
      <c r="K2759"/>
    </row>
    <row r="2760" spans="1:11" s="21" customFormat="1">
      <c r="A2760"/>
      <c r="B2760"/>
      <c r="F2760"/>
      <c r="G2760"/>
      <c r="H2760"/>
      <c r="I2760" s="97"/>
      <c r="J2760"/>
      <c r="K2760"/>
    </row>
    <row r="2761" spans="1:11" s="21" customFormat="1">
      <c r="A2761"/>
      <c r="B2761"/>
      <c r="F2761"/>
      <c r="G2761"/>
      <c r="H2761"/>
      <c r="I2761" s="97"/>
      <c r="J2761"/>
      <c r="K2761"/>
    </row>
    <row r="2762" spans="1:11" s="21" customFormat="1">
      <c r="A2762"/>
      <c r="B2762"/>
      <c r="F2762"/>
      <c r="G2762"/>
      <c r="H2762"/>
      <c r="I2762" s="97"/>
      <c r="J2762"/>
      <c r="K2762"/>
    </row>
    <row r="2763" spans="1:11" s="21" customFormat="1">
      <c r="A2763"/>
      <c r="B2763"/>
      <c r="F2763"/>
      <c r="G2763"/>
      <c r="H2763"/>
      <c r="I2763" s="97"/>
      <c r="J2763"/>
      <c r="K2763"/>
    </row>
    <row r="2764" spans="1:11" s="21" customFormat="1">
      <c r="A2764"/>
      <c r="B2764"/>
      <c r="F2764"/>
      <c r="G2764"/>
      <c r="H2764"/>
      <c r="I2764" s="97"/>
      <c r="J2764"/>
      <c r="K2764"/>
    </row>
    <row r="2765" spans="1:11" s="21" customFormat="1">
      <c r="A2765"/>
      <c r="B2765"/>
      <c r="F2765"/>
      <c r="G2765"/>
      <c r="H2765"/>
      <c r="I2765" s="97"/>
      <c r="J2765"/>
      <c r="K2765"/>
    </row>
    <row r="2766" spans="1:11" s="21" customFormat="1">
      <c r="A2766"/>
      <c r="B2766"/>
      <c r="F2766"/>
      <c r="G2766"/>
      <c r="H2766"/>
      <c r="I2766" s="97"/>
      <c r="J2766"/>
      <c r="K2766"/>
    </row>
    <row r="2767" spans="1:11" s="21" customFormat="1">
      <c r="A2767"/>
      <c r="B2767"/>
      <c r="F2767"/>
      <c r="G2767"/>
      <c r="H2767"/>
      <c r="I2767" s="97"/>
      <c r="J2767"/>
      <c r="K2767"/>
    </row>
    <row r="2768" spans="1:11" s="21" customFormat="1">
      <c r="A2768"/>
      <c r="B2768"/>
      <c r="F2768"/>
      <c r="G2768"/>
      <c r="H2768"/>
      <c r="I2768" s="97"/>
      <c r="J2768"/>
      <c r="K2768"/>
    </row>
    <row r="2769" spans="1:11" s="21" customFormat="1">
      <c r="A2769"/>
      <c r="B2769"/>
      <c r="F2769"/>
      <c r="G2769"/>
      <c r="H2769"/>
      <c r="I2769" s="97"/>
      <c r="J2769"/>
      <c r="K2769"/>
    </row>
    <row r="2770" spans="1:11" s="21" customFormat="1">
      <c r="A2770"/>
      <c r="B2770"/>
      <c r="F2770"/>
      <c r="G2770"/>
      <c r="H2770"/>
      <c r="I2770" s="97"/>
      <c r="J2770"/>
      <c r="K2770"/>
    </row>
    <row r="2771" spans="1:11" s="21" customFormat="1">
      <c r="A2771"/>
      <c r="B2771"/>
      <c r="F2771"/>
      <c r="G2771"/>
      <c r="H2771"/>
      <c r="I2771" s="97"/>
      <c r="J2771"/>
      <c r="K2771"/>
    </row>
    <row r="2772" spans="1:11" s="21" customFormat="1">
      <c r="A2772"/>
      <c r="B2772"/>
      <c r="F2772"/>
      <c r="G2772"/>
      <c r="H2772"/>
      <c r="I2772" s="97"/>
      <c r="J2772"/>
      <c r="K2772"/>
    </row>
    <row r="2773" spans="1:11" s="21" customFormat="1">
      <c r="A2773"/>
      <c r="B2773"/>
      <c r="F2773"/>
      <c r="G2773"/>
      <c r="H2773"/>
      <c r="I2773" s="97"/>
      <c r="J2773"/>
      <c r="K2773"/>
    </row>
    <row r="2774" spans="1:11" s="21" customFormat="1">
      <c r="A2774"/>
      <c r="B2774"/>
      <c r="F2774"/>
      <c r="G2774"/>
      <c r="H2774"/>
      <c r="I2774" s="97"/>
      <c r="J2774"/>
      <c r="K2774"/>
    </row>
    <row r="2775" spans="1:11" s="21" customFormat="1">
      <c r="A2775"/>
      <c r="B2775"/>
      <c r="F2775"/>
      <c r="G2775"/>
      <c r="H2775"/>
      <c r="I2775" s="97"/>
      <c r="J2775"/>
      <c r="K2775"/>
    </row>
    <row r="2776" spans="1:11" s="21" customFormat="1">
      <c r="A2776"/>
      <c r="B2776"/>
      <c r="F2776"/>
      <c r="G2776"/>
      <c r="H2776"/>
      <c r="I2776" s="97"/>
      <c r="J2776"/>
      <c r="K2776"/>
    </row>
    <row r="2777" spans="1:11" s="21" customFormat="1">
      <c r="A2777"/>
      <c r="B2777"/>
      <c r="F2777"/>
      <c r="G2777"/>
      <c r="H2777"/>
      <c r="I2777" s="97"/>
      <c r="J2777"/>
      <c r="K2777"/>
    </row>
    <row r="2778" spans="1:11" s="21" customFormat="1">
      <c r="A2778"/>
      <c r="B2778"/>
      <c r="F2778"/>
      <c r="G2778"/>
      <c r="H2778"/>
      <c r="I2778" s="97"/>
      <c r="J2778"/>
      <c r="K2778"/>
    </row>
    <row r="2779" spans="1:11" s="21" customFormat="1">
      <c r="A2779"/>
      <c r="B2779"/>
      <c r="F2779"/>
      <c r="G2779"/>
      <c r="H2779"/>
      <c r="I2779" s="97"/>
      <c r="J2779"/>
      <c r="K2779"/>
    </row>
    <row r="2780" spans="1:11" s="21" customFormat="1">
      <c r="A2780"/>
      <c r="B2780"/>
      <c r="F2780"/>
      <c r="G2780"/>
      <c r="H2780"/>
      <c r="I2780" s="97"/>
      <c r="J2780"/>
      <c r="K2780"/>
    </row>
    <row r="2781" spans="1:11" s="21" customFormat="1">
      <c r="A2781"/>
      <c r="B2781"/>
      <c r="F2781"/>
      <c r="G2781"/>
      <c r="H2781"/>
      <c r="I2781" s="97"/>
      <c r="J2781"/>
      <c r="K2781"/>
    </row>
    <row r="2782" spans="1:11" s="21" customFormat="1">
      <c r="A2782"/>
      <c r="B2782"/>
      <c r="F2782"/>
      <c r="G2782"/>
      <c r="H2782"/>
      <c r="I2782" s="97"/>
      <c r="J2782"/>
      <c r="K2782"/>
    </row>
    <row r="2783" spans="1:11" s="21" customFormat="1">
      <c r="A2783"/>
      <c r="B2783"/>
      <c r="F2783"/>
      <c r="G2783"/>
      <c r="H2783"/>
      <c r="I2783" s="97"/>
      <c r="J2783"/>
      <c r="K2783"/>
    </row>
    <row r="2784" spans="1:11" s="21" customFormat="1">
      <c r="A2784"/>
      <c r="B2784"/>
      <c r="F2784"/>
      <c r="G2784"/>
      <c r="H2784"/>
      <c r="I2784" s="97"/>
      <c r="J2784"/>
      <c r="K2784"/>
    </row>
    <row r="2785" spans="1:11" s="21" customFormat="1">
      <c r="A2785"/>
      <c r="B2785"/>
      <c r="F2785"/>
      <c r="G2785"/>
      <c r="H2785"/>
      <c r="I2785" s="97"/>
      <c r="J2785"/>
      <c r="K2785"/>
    </row>
    <row r="2786" spans="1:11" s="21" customFormat="1">
      <c r="A2786"/>
      <c r="B2786"/>
      <c r="F2786"/>
      <c r="G2786"/>
      <c r="H2786"/>
      <c r="I2786" s="97"/>
      <c r="J2786"/>
      <c r="K2786"/>
    </row>
    <row r="2787" spans="1:11" s="21" customFormat="1">
      <c r="A2787"/>
      <c r="B2787"/>
      <c r="F2787"/>
      <c r="G2787"/>
      <c r="H2787"/>
      <c r="I2787" s="97"/>
      <c r="J2787"/>
      <c r="K2787"/>
    </row>
    <row r="2788" spans="1:11" s="21" customFormat="1">
      <c r="A2788"/>
      <c r="B2788"/>
      <c r="F2788"/>
      <c r="G2788"/>
      <c r="H2788"/>
      <c r="I2788" s="97"/>
      <c r="J2788"/>
      <c r="K2788"/>
    </row>
    <row r="2789" spans="1:11" s="21" customFormat="1">
      <c r="A2789"/>
      <c r="B2789"/>
      <c r="F2789"/>
      <c r="G2789"/>
      <c r="H2789"/>
      <c r="I2789" s="97"/>
      <c r="J2789"/>
      <c r="K2789"/>
    </row>
    <row r="2790" spans="1:11" s="21" customFormat="1">
      <c r="A2790"/>
      <c r="B2790"/>
      <c r="F2790"/>
      <c r="G2790"/>
      <c r="H2790"/>
      <c r="I2790" s="97"/>
      <c r="J2790"/>
      <c r="K2790"/>
    </row>
    <row r="2791" spans="1:11" s="21" customFormat="1">
      <c r="A2791"/>
      <c r="B2791"/>
      <c r="F2791"/>
      <c r="G2791"/>
      <c r="H2791"/>
      <c r="I2791" s="97"/>
      <c r="J2791"/>
      <c r="K2791"/>
    </row>
    <row r="2792" spans="1:11" s="21" customFormat="1">
      <c r="A2792"/>
      <c r="B2792"/>
      <c r="F2792"/>
      <c r="G2792"/>
      <c r="H2792"/>
      <c r="I2792" s="97"/>
      <c r="J2792"/>
      <c r="K2792"/>
    </row>
    <row r="2793" spans="1:11" s="21" customFormat="1">
      <c r="A2793"/>
      <c r="B2793"/>
      <c r="F2793"/>
      <c r="G2793"/>
      <c r="H2793"/>
      <c r="I2793" s="97"/>
      <c r="J2793"/>
      <c r="K2793"/>
    </row>
    <row r="2794" spans="1:11" s="21" customFormat="1">
      <c r="A2794"/>
      <c r="B2794"/>
      <c r="F2794"/>
      <c r="G2794"/>
      <c r="H2794"/>
      <c r="I2794" s="97"/>
      <c r="J2794"/>
      <c r="K2794"/>
    </row>
    <row r="2795" spans="1:11" s="21" customFormat="1">
      <c r="A2795"/>
      <c r="B2795"/>
      <c r="F2795"/>
      <c r="G2795"/>
      <c r="H2795"/>
      <c r="I2795" s="97"/>
      <c r="J2795"/>
      <c r="K2795"/>
    </row>
    <row r="2796" spans="1:11" s="21" customFormat="1">
      <c r="A2796"/>
      <c r="B2796"/>
      <c r="F2796"/>
      <c r="G2796"/>
      <c r="H2796"/>
      <c r="I2796" s="97"/>
      <c r="J2796"/>
      <c r="K2796"/>
    </row>
    <row r="2797" spans="1:11" s="21" customFormat="1">
      <c r="A2797"/>
      <c r="B2797"/>
      <c r="F2797"/>
      <c r="G2797"/>
      <c r="H2797"/>
      <c r="I2797" s="97"/>
      <c r="J2797"/>
      <c r="K2797"/>
    </row>
    <row r="2798" spans="1:11" s="21" customFormat="1">
      <c r="A2798"/>
      <c r="B2798"/>
      <c r="F2798"/>
      <c r="G2798"/>
      <c r="H2798"/>
      <c r="I2798" s="97"/>
      <c r="J2798"/>
      <c r="K2798"/>
    </row>
    <row r="2799" spans="1:11" s="21" customFormat="1">
      <c r="A2799"/>
      <c r="B2799"/>
      <c r="F2799"/>
      <c r="G2799"/>
      <c r="H2799"/>
      <c r="I2799" s="97"/>
      <c r="J2799"/>
      <c r="K2799"/>
    </row>
    <row r="2800" spans="1:11" s="21" customFormat="1">
      <c r="A2800"/>
      <c r="B2800"/>
      <c r="F2800"/>
      <c r="G2800"/>
      <c r="H2800"/>
      <c r="I2800" s="97"/>
      <c r="J2800"/>
      <c r="K2800"/>
    </row>
    <row r="2801" spans="1:11" s="21" customFormat="1">
      <c r="A2801"/>
      <c r="B2801"/>
      <c r="F2801"/>
      <c r="G2801"/>
      <c r="H2801"/>
      <c r="I2801" s="97"/>
      <c r="J2801"/>
      <c r="K2801"/>
    </row>
    <row r="2802" spans="1:11" s="21" customFormat="1">
      <c r="A2802"/>
      <c r="B2802"/>
      <c r="F2802"/>
      <c r="G2802"/>
      <c r="H2802"/>
      <c r="I2802" s="97"/>
      <c r="J2802"/>
      <c r="K2802"/>
    </row>
    <row r="2803" spans="1:11" s="21" customFormat="1">
      <c r="A2803"/>
      <c r="B2803"/>
      <c r="F2803"/>
      <c r="G2803"/>
      <c r="H2803"/>
      <c r="I2803" s="97"/>
      <c r="J2803"/>
      <c r="K2803"/>
    </row>
    <row r="2804" spans="1:11" s="21" customFormat="1">
      <c r="A2804"/>
      <c r="B2804"/>
      <c r="F2804"/>
      <c r="G2804"/>
      <c r="H2804"/>
      <c r="I2804" s="97"/>
      <c r="J2804"/>
      <c r="K2804"/>
    </row>
    <row r="2805" spans="1:11" s="21" customFormat="1">
      <c r="A2805"/>
      <c r="B2805"/>
      <c r="F2805"/>
      <c r="G2805"/>
      <c r="H2805"/>
      <c r="I2805" s="97"/>
      <c r="J2805"/>
      <c r="K2805"/>
    </row>
    <row r="2806" spans="1:11" s="21" customFormat="1">
      <c r="A2806"/>
      <c r="B2806"/>
      <c r="F2806"/>
      <c r="G2806"/>
      <c r="H2806"/>
      <c r="I2806" s="97"/>
      <c r="J2806"/>
      <c r="K2806"/>
    </row>
    <row r="2807" spans="1:11" s="21" customFormat="1">
      <c r="A2807"/>
      <c r="B2807"/>
      <c r="F2807"/>
      <c r="G2807"/>
      <c r="H2807"/>
      <c r="I2807" s="97"/>
      <c r="J2807"/>
      <c r="K2807"/>
    </row>
    <row r="2808" spans="1:11" s="21" customFormat="1">
      <c r="A2808"/>
      <c r="B2808"/>
      <c r="F2808"/>
      <c r="G2808"/>
      <c r="H2808"/>
      <c r="I2808" s="97"/>
      <c r="J2808"/>
      <c r="K2808"/>
    </row>
    <row r="2809" spans="1:11" s="21" customFormat="1">
      <c r="A2809"/>
      <c r="B2809"/>
      <c r="F2809"/>
      <c r="G2809"/>
      <c r="H2809"/>
      <c r="I2809" s="97"/>
      <c r="J2809"/>
      <c r="K2809"/>
    </row>
    <row r="2810" spans="1:11" s="21" customFormat="1">
      <c r="A2810"/>
      <c r="B2810"/>
      <c r="F2810"/>
      <c r="G2810"/>
      <c r="H2810"/>
      <c r="I2810" s="97"/>
      <c r="J2810"/>
      <c r="K2810"/>
    </row>
    <row r="2811" spans="1:11" s="21" customFormat="1">
      <c r="A2811"/>
      <c r="B2811"/>
      <c r="F2811"/>
      <c r="G2811"/>
      <c r="H2811"/>
      <c r="I2811" s="97"/>
      <c r="J2811"/>
      <c r="K2811"/>
    </row>
    <row r="2812" spans="1:11" s="21" customFormat="1">
      <c r="A2812"/>
      <c r="B2812"/>
      <c r="F2812"/>
      <c r="G2812"/>
      <c r="H2812"/>
      <c r="I2812" s="97"/>
      <c r="J2812"/>
      <c r="K2812"/>
    </row>
    <row r="2813" spans="1:11" s="21" customFormat="1">
      <c r="A2813"/>
      <c r="B2813"/>
      <c r="F2813"/>
      <c r="G2813"/>
      <c r="H2813"/>
      <c r="I2813" s="97"/>
      <c r="J2813"/>
      <c r="K2813"/>
    </row>
    <row r="2814" spans="1:11" s="21" customFormat="1">
      <c r="A2814"/>
      <c r="B2814"/>
      <c r="F2814"/>
      <c r="G2814"/>
      <c r="H2814"/>
      <c r="I2814" s="97"/>
      <c r="J2814"/>
      <c r="K2814"/>
    </row>
    <row r="2815" spans="1:11" s="21" customFormat="1">
      <c r="A2815"/>
      <c r="B2815"/>
      <c r="F2815"/>
      <c r="G2815"/>
      <c r="H2815"/>
      <c r="I2815" s="97"/>
      <c r="J2815"/>
      <c r="K2815"/>
    </row>
    <row r="2816" spans="1:11" s="21" customFormat="1">
      <c r="A2816"/>
      <c r="B2816"/>
      <c r="F2816"/>
      <c r="G2816"/>
      <c r="H2816"/>
      <c r="I2816" s="97"/>
      <c r="J2816"/>
      <c r="K2816"/>
    </row>
    <row r="2817" spans="1:11" s="21" customFormat="1">
      <c r="A2817"/>
      <c r="B2817"/>
      <c r="F2817"/>
      <c r="G2817"/>
      <c r="H2817"/>
      <c r="I2817" s="97"/>
      <c r="J2817"/>
      <c r="K2817"/>
    </row>
    <row r="2818" spans="1:11" s="21" customFormat="1">
      <c r="A2818"/>
      <c r="B2818"/>
      <c r="F2818"/>
      <c r="G2818"/>
      <c r="H2818"/>
      <c r="I2818" s="97"/>
      <c r="J2818"/>
      <c r="K2818"/>
    </row>
    <row r="2819" spans="1:11" s="21" customFormat="1">
      <c r="A2819"/>
      <c r="B2819"/>
      <c r="F2819"/>
      <c r="G2819"/>
      <c r="H2819"/>
      <c r="I2819" s="97"/>
      <c r="J2819"/>
      <c r="K2819"/>
    </row>
    <row r="2820" spans="1:11" s="21" customFormat="1">
      <c r="A2820"/>
      <c r="B2820"/>
      <c r="F2820"/>
      <c r="G2820"/>
      <c r="H2820"/>
      <c r="I2820" s="97"/>
      <c r="J2820"/>
      <c r="K2820"/>
    </row>
    <row r="2821" spans="1:11" s="21" customFormat="1">
      <c r="A2821"/>
      <c r="B2821"/>
      <c r="F2821"/>
      <c r="G2821"/>
      <c r="H2821"/>
      <c r="I2821" s="97"/>
      <c r="J2821"/>
      <c r="K2821"/>
    </row>
    <row r="2822" spans="1:11" s="21" customFormat="1">
      <c r="A2822"/>
      <c r="B2822"/>
      <c r="F2822"/>
      <c r="G2822"/>
      <c r="H2822"/>
      <c r="I2822" s="97"/>
      <c r="J2822"/>
      <c r="K2822"/>
    </row>
    <row r="2823" spans="1:11" s="21" customFormat="1">
      <c r="A2823"/>
      <c r="B2823"/>
      <c r="F2823"/>
      <c r="G2823"/>
      <c r="H2823"/>
      <c r="I2823" s="97"/>
      <c r="J2823"/>
      <c r="K2823"/>
    </row>
    <row r="2824" spans="1:11" s="21" customFormat="1">
      <c r="A2824"/>
      <c r="B2824"/>
      <c r="F2824"/>
      <c r="G2824"/>
      <c r="H2824"/>
      <c r="I2824" s="97"/>
      <c r="J2824"/>
      <c r="K2824"/>
    </row>
    <row r="2825" spans="1:11" s="21" customFormat="1">
      <c r="A2825"/>
      <c r="B2825"/>
      <c r="F2825"/>
      <c r="G2825"/>
      <c r="H2825"/>
      <c r="I2825" s="97"/>
      <c r="J2825"/>
      <c r="K2825"/>
    </row>
    <row r="2826" spans="1:11" s="21" customFormat="1">
      <c r="A2826"/>
      <c r="B2826"/>
      <c r="F2826"/>
      <c r="G2826"/>
      <c r="H2826"/>
      <c r="I2826" s="97"/>
      <c r="J2826"/>
      <c r="K2826"/>
    </row>
    <row r="2827" spans="1:11" s="21" customFormat="1">
      <c r="A2827"/>
      <c r="B2827"/>
      <c r="F2827"/>
      <c r="G2827"/>
      <c r="H2827"/>
      <c r="I2827" s="97"/>
      <c r="J2827"/>
      <c r="K2827"/>
    </row>
    <row r="2828" spans="1:11" s="21" customFormat="1">
      <c r="A2828"/>
      <c r="B2828"/>
      <c r="F2828"/>
      <c r="G2828"/>
      <c r="H2828"/>
      <c r="I2828" s="97"/>
      <c r="J2828"/>
      <c r="K2828"/>
    </row>
    <row r="2829" spans="1:11" s="21" customFormat="1">
      <c r="A2829"/>
      <c r="B2829"/>
      <c r="F2829"/>
      <c r="G2829"/>
      <c r="H2829"/>
      <c r="I2829" s="97"/>
      <c r="J2829"/>
      <c r="K2829"/>
    </row>
    <row r="2830" spans="1:11" s="21" customFormat="1">
      <c r="A2830"/>
      <c r="B2830"/>
      <c r="F2830"/>
      <c r="G2830"/>
      <c r="H2830"/>
      <c r="I2830" s="97"/>
      <c r="J2830"/>
      <c r="K2830"/>
    </row>
    <row r="2831" spans="1:11" s="21" customFormat="1">
      <c r="A2831"/>
      <c r="B2831"/>
      <c r="F2831"/>
      <c r="G2831"/>
      <c r="H2831"/>
      <c r="I2831" s="97"/>
      <c r="J2831"/>
      <c r="K2831"/>
    </row>
    <row r="2832" spans="1:11" s="21" customFormat="1">
      <c r="A2832"/>
      <c r="B2832"/>
      <c r="F2832"/>
      <c r="G2832"/>
      <c r="H2832"/>
      <c r="I2832" s="97"/>
      <c r="J2832"/>
      <c r="K2832"/>
    </row>
    <row r="2833" spans="1:11" s="21" customFormat="1">
      <c r="A2833"/>
      <c r="B2833"/>
      <c r="F2833"/>
      <c r="G2833"/>
      <c r="H2833"/>
      <c r="I2833" s="97"/>
      <c r="J2833"/>
      <c r="K2833"/>
    </row>
    <row r="2834" spans="1:11" s="21" customFormat="1">
      <c r="A2834"/>
      <c r="B2834"/>
      <c r="F2834"/>
      <c r="G2834"/>
      <c r="H2834"/>
      <c r="I2834" s="97"/>
      <c r="J2834"/>
      <c r="K2834"/>
    </row>
    <row r="2835" spans="1:11" s="21" customFormat="1">
      <c r="A2835"/>
      <c r="B2835"/>
      <c r="F2835"/>
      <c r="G2835"/>
      <c r="H2835"/>
      <c r="I2835" s="97"/>
      <c r="J2835"/>
      <c r="K2835"/>
    </row>
    <row r="2836" spans="1:11" s="21" customFormat="1">
      <c r="A2836"/>
      <c r="B2836"/>
      <c r="F2836"/>
      <c r="G2836"/>
      <c r="H2836"/>
      <c r="I2836" s="97"/>
      <c r="J2836"/>
      <c r="K2836"/>
    </row>
    <row r="2837" spans="1:11" s="21" customFormat="1">
      <c r="A2837"/>
      <c r="B2837"/>
      <c r="F2837"/>
      <c r="G2837"/>
      <c r="H2837"/>
      <c r="I2837" s="97"/>
      <c r="J2837"/>
      <c r="K2837"/>
    </row>
    <row r="2838" spans="1:11" s="21" customFormat="1">
      <c r="A2838"/>
      <c r="B2838"/>
      <c r="F2838"/>
      <c r="G2838"/>
      <c r="H2838"/>
      <c r="I2838" s="97"/>
      <c r="J2838"/>
      <c r="K2838"/>
    </row>
    <row r="2839" spans="1:11" s="21" customFormat="1">
      <c r="A2839"/>
      <c r="B2839"/>
      <c r="F2839"/>
      <c r="G2839"/>
      <c r="H2839"/>
      <c r="I2839" s="97"/>
      <c r="J2839"/>
      <c r="K2839"/>
    </row>
    <row r="2840" spans="1:11" s="21" customFormat="1">
      <c r="A2840"/>
      <c r="B2840"/>
      <c r="F2840"/>
      <c r="G2840"/>
      <c r="H2840"/>
      <c r="I2840" s="97"/>
      <c r="J2840"/>
      <c r="K2840"/>
    </row>
    <row r="2841" spans="1:11" s="21" customFormat="1">
      <c r="A2841"/>
      <c r="B2841"/>
      <c r="F2841"/>
      <c r="G2841"/>
      <c r="H2841"/>
      <c r="I2841" s="97"/>
      <c r="J2841"/>
      <c r="K2841"/>
    </row>
    <row r="2842" spans="1:11" s="21" customFormat="1">
      <c r="A2842"/>
      <c r="B2842"/>
      <c r="F2842"/>
      <c r="G2842"/>
      <c r="H2842"/>
      <c r="I2842" s="97"/>
      <c r="J2842"/>
      <c r="K2842"/>
    </row>
    <row r="2843" spans="1:11" s="21" customFormat="1">
      <c r="A2843"/>
      <c r="B2843"/>
      <c r="F2843"/>
      <c r="G2843"/>
      <c r="H2843"/>
      <c r="I2843" s="97"/>
      <c r="J2843"/>
      <c r="K2843"/>
    </row>
    <row r="2844" spans="1:11" s="21" customFormat="1">
      <c r="A2844"/>
      <c r="B2844"/>
      <c r="F2844"/>
      <c r="G2844"/>
      <c r="H2844"/>
      <c r="I2844" s="97"/>
      <c r="J2844"/>
      <c r="K2844"/>
    </row>
    <row r="2845" spans="1:11" s="21" customFormat="1">
      <c r="A2845"/>
      <c r="B2845"/>
      <c r="F2845"/>
      <c r="G2845"/>
      <c r="H2845"/>
      <c r="I2845" s="97"/>
      <c r="J2845"/>
      <c r="K2845"/>
    </row>
    <row r="2846" spans="1:11" s="21" customFormat="1">
      <c r="A2846"/>
      <c r="B2846"/>
      <c r="F2846"/>
      <c r="G2846"/>
      <c r="H2846"/>
      <c r="I2846" s="97"/>
      <c r="J2846"/>
      <c r="K2846"/>
    </row>
    <row r="2847" spans="1:11" s="21" customFormat="1">
      <c r="A2847"/>
      <c r="B2847"/>
      <c r="F2847"/>
      <c r="G2847"/>
      <c r="H2847"/>
      <c r="I2847" s="97"/>
      <c r="J2847"/>
      <c r="K2847"/>
    </row>
    <row r="2848" spans="1:11" s="21" customFormat="1">
      <c r="A2848"/>
      <c r="B2848"/>
      <c r="F2848"/>
      <c r="G2848"/>
      <c r="H2848"/>
      <c r="I2848" s="97"/>
      <c r="J2848"/>
      <c r="K2848"/>
    </row>
    <row r="2849" spans="1:11" s="21" customFormat="1">
      <c r="A2849"/>
      <c r="B2849"/>
      <c r="F2849"/>
      <c r="G2849"/>
      <c r="H2849"/>
      <c r="I2849" s="97"/>
      <c r="J2849"/>
      <c r="K2849"/>
    </row>
    <row r="2850" spans="1:11" s="21" customFormat="1">
      <c r="A2850"/>
      <c r="B2850"/>
      <c r="F2850"/>
      <c r="G2850"/>
      <c r="H2850"/>
      <c r="I2850" s="97"/>
      <c r="J2850"/>
      <c r="K2850"/>
    </row>
    <row r="2851" spans="1:11" s="21" customFormat="1">
      <c r="A2851"/>
      <c r="B2851"/>
      <c r="F2851"/>
      <c r="G2851"/>
      <c r="H2851"/>
      <c r="I2851" s="97"/>
      <c r="J2851"/>
      <c r="K2851"/>
    </row>
    <row r="2852" spans="1:11" s="21" customFormat="1">
      <c r="A2852"/>
      <c r="B2852"/>
      <c r="F2852"/>
      <c r="G2852"/>
      <c r="H2852"/>
      <c r="I2852" s="97"/>
      <c r="J2852"/>
      <c r="K2852"/>
    </row>
    <row r="2853" spans="1:11" s="21" customFormat="1">
      <c r="A2853"/>
      <c r="B2853"/>
      <c r="F2853"/>
      <c r="G2853"/>
      <c r="H2853"/>
      <c r="I2853" s="97"/>
      <c r="J2853"/>
      <c r="K2853"/>
    </row>
    <row r="2854" spans="1:11" s="21" customFormat="1">
      <c r="A2854"/>
      <c r="B2854"/>
      <c r="F2854"/>
      <c r="G2854"/>
      <c r="H2854"/>
      <c r="I2854" s="97"/>
      <c r="J2854"/>
      <c r="K2854"/>
    </row>
    <row r="2855" spans="1:11" s="21" customFormat="1">
      <c r="A2855"/>
      <c r="B2855"/>
      <c r="F2855"/>
      <c r="G2855"/>
      <c r="H2855"/>
      <c r="I2855" s="97"/>
      <c r="J2855"/>
      <c r="K2855"/>
    </row>
    <row r="2856" spans="1:11" s="21" customFormat="1">
      <c r="A2856"/>
      <c r="B2856"/>
      <c r="F2856"/>
      <c r="G2856"/>
      <c r="H2856"/>
      <c r="I2856" s="97"/>
      <c r="J2856"/>
      <c r="K2856"/>
    </row>
    <row r="2857" spans="1:11" s="21" customFormat="1">
      <c r="A2857"/>
      <c r="B2857"/>
      <c r="F2857"/>
      <c r="G2857"/>
      <c r="H2857"/>
      <c r="I2857" s="97"/>
      <c r="J2857"/>
      <c r="K2857"/>
    </row>
    <row r="2858" spans="1:11" s="21" customFormat="1">
      <c r="A2858"/>
      <c r="B2858"/>
      <c r="F2858"/>
      <c r="G2858"/>
      <c r="H2858"/>
      <c r="I2858" s="97"/>
      <c r="J2858"/>
      <c r="K2858"/>
    </row>
    <row r="2859" spans="1:11" s="21" customFormat="1">
      <c r="A2859"/>
      <c r="B2859"/>
      <c r="F2859"/>
      <c r="G2859"/>
      <c r="H2859"/>
      <c r="I2859" s="97"/>
      <c r="J2859"/>
      <c r="K2859"/>
    </row>
    <row r="2860" spans="1:11" s="21" customFormat="1">
      <c r="A2860"/>
      <c r="B2860"/>
      <c r="F2860"/>
      <c r="G2860"/>
      <c r="H2860"/>
      <c r="I2860" s="97"/>
      <c r="J2860"/>
      <c r="K2860"/>
    </row>
    <row r="2861" spans="1:11" s="21" customFormat="1">
      <c r="A2861"/>
      <c r="B2861"/>
      <c r="F2861"/>
      <c r="G2861"/>
      <c r="H2861"/>
      <c r="I2861" s="97"/>
      <c r="J2861"/>
      <c r="K2861"/>
    </row>
    <row r="2862" spans="1:11" s="21" customFormat="1">
      <c r="A2862"/>
      <c r="B2862"/>
      <c r="F2862"/>
      <c r="G2862"/>
      <c r="H2862"/>
      <c r="I2862" s="97"/>
      <c r="J2862"/>
      <c r="K2862"/>
    </row>
    <row r="2863" spans="1:11" s="21" customFormat="1">
      <c r="A2863"/>
      <c r="B2863"/>
      <c r="F2863"/>
      <c r="G2863"/>
      <c r="H2863"/>
      <c r="I2863" s="97"/>
      <c r="J2863"/>
      <c r="K2863"/>
    </row>
    <row r="2864" spans="1:11" s="21" customFormat="1">
      <c r="A2864"/>
      <c r="B2864"/>
      <c r="F2864"/>
      <c r="G2864"/>
      <c r="H2864"/>
      <c r="I2864" s="97"/>
      <c r="J2864"/>
      <c r="K2864"/>
    </row>
    <row r="2865" spans="1:11" s="21" customFormat="1">
      <c r="A2865"/>
      <c r="B2865"/>
      <c r="F2865"/>
      <c r="G2865"/>
      <c r="H2865"/>
      <c r="I2865" s="97"/>
      <c r="J2865"/>
      <c r="K2865"/>
    </row>
    <row r="2866" spans="1:11" s="21" customFormat="1">
      <c r="A2866"/>
      <c r="B2866"/>
      <c r="F2866"/>
      <c r="G2866"/>
      <c r="H2866"/>
      <c r="I2866" s="97"/>
      <c r="J2866"/>
      <c r="K2866"/>
    </row>
    <row r="2867" spans="1:11" s="21" customFormat="1">
      <c r="A2867"/>
      <c r="B2867"/>
      <c r="F2867"/>
      <c r="G2867"/>
      <c r="H2867"/>
      <c r="I2867" s="97"/>
      <c r="J2867"/>
      <c r="K2867"/>
    </row>
    <row r="2868" spans="1:11" s="21" customFormat="1">
      <c r="A2868"/>
      <c r="B2868"/>
      <c r="F2868"/>
      <c r="G2868"/>
      <c r="H2868"/>
      <c r="I2868" s="97"/>
      <c r="J2868"/>
      <c r="K2868"/>
    </row>
    <row r="2869" spans="1:11" s="21" customFormat="1">
      <c r="A2869"/>
      <c r="B2869"/>
      <c r="F2869"/>
      <c r="G2869"/>
      <c r="H2869"/>
      <c r="I2869" s="97"/>
      <c r="J2869"/>
      <c r="K2869"/>
    </row>
    <row r="2870" spans="1:11" s="21" customFormat="1">
      <c r="A2870"/>
      <c r="B2870"/>
      <c r="F2870"/>
      <c r="G2870"/>
      <c r="H2870"/>
      <c r="I2870" s="97"/>
      <c r="J2870"/>
      <c r="K2870"/>
    </row>
    <row r="2871" spans="1:11" s="21" customFormat="1">
      <c r="A2871"/>
      <c r="B2871"/>
      <c r="F2871"/>
      <c r="G2871"/>
      <c r="H2871"/>
      <c r="I2871" s="97"/>
      <c r="J2871"/>
      <c r="K2871"/>
    </row>
    <row r="2872" spans="1:11" s="21" customFormat="1">
      <c r="A2872"/>
      <c r="B2872"/>
      <c r="F2872"/>
      <c r="G2872"/>
      <c r="H2872"/>
      <c r="I2872" s="97"/>
      <c r="J2872"/>
      <c r="K2872"/>
    </row>
    <row r="2873" spans="1:11" s="21" customFormat="1">
      <c r="A2873"/>
      <c r="B2873"/>
      <c r="F2873"/>
      <c r="G2873"/>
      <c r="H2873"/>
      <c r="I2873" s="97"/>
      <c r="J2873"/>
      <c r="K2873"/>
    </row>
    <row r="2874" spans="1:11" s="21" customFormat="1">
      <c r="A2874"/>
      <c r="B2874"/>
      <c r="F2874"/>
      <c r="G2874"/>
      <c r="H2874"/>
      <c r="I2874" s="97"/>
      <c r="J2874"/>
      <c r="K2874"/>
    </row>
    <row r="2875" spans="1:11" s="21" customFormat="1">
      <c r="A2875"/>
      <c r="B2875"/>
      <c r="F2875"/>
      <c r="G2875"/>
      <c r="H2875"/>
      <c r="I2875" s="97"/>
      <c r="J2875"/>
      <c r="K2875"/>
    </row>
    <row r="2876" spans="1:11" s="21" customFormat="1">
      <c r="A2876"/>
      <c r="B2876"/>
      <c r="F2876"/>
      <c r="G2876"/>
      <c r="H2876"/>
      <c r="I2876" s="97"/>
      <c r="J2876"/>
      <c r="K2876"/>
    </row>
    <row r="2877" spans="1:11" s="21" customFormat="1">
      <c r="A2877"/>
      <c r="B2877"/>
      <c r="F2877"/>
      <c r="G2877"/>
      <c r="H2877"/>
      <c r="I2877" s="97"/>
      <c r="J2877"/>
      <c r="K2877"/>
    </row>
    <row r="2878" spans="1:11" s="21" customFormat="1">
      <c r="A2878"/>
      <c r="B2878"/>
      <c r="F2878"/>
      <c r="G2878"/>
      <c r="H2878"/>
      <c r="I2878" s="97"/>
      <c r="J2878"/>
      <c r="K2878"/>
    </row>
    <row r="2879" spans="1:11" s="21" customFormat="1">
      <c r="A2879"/>
      <c r="B2879"/>
      <c r="F2879"/>
      <c r="G2879"/>
      <c r="H2879"/>
      <c r="I2879" s="97"/>
      <c r="J2879"/>
      <c r="K2879"/>
    </row>
    <row r="2880" spans="1:11" s="21" customFormat="1">
      <c r="A2880"/>
      <c r="B2880"/>
      <c r="F2880"/>
      <c r="G2880"/>
      <c r="H2880"/>
      <c r="I2880" s="97"/>
      <c r="J2880"/>
      <c r="K2880"/>
    </row>
    <row r="2881" spans="1:11" s="21" customFormat="1">
      <c r="A2881"/>
      <c r="B2881"/>
      <c r="F2881"/>
      <c r="G2881"/>
      <c r="H2881"/>
      <c r="I2881" s="97"/>
      <c r="J2881"/>
      <c r="K2881"/>
    </row>
    <row r="2882" spans="1:11" s="21" customFormat="1">
      <c r="A2882"/>
      <c r="B2882"/>
      <c r="F2882"/>
      <c r="G2882"/>
      <c r="H2882"/>
      <c r="I2882" s="97"/>
      <c r="J2882"/>
      <c r="K2882"/>
    </row>
    <row r="2883" spans="1:11" s="21" customFormat="1">
      <c r="A2883"/>
      <c r="B2883"/>
      <c r="F2883"/>
      <c r="G2883"/>
      <c r="H2883"/>
      <c r="I2883" s="97"/>
      <c r="J2883"/>
      <c r="K2883"/>
    </row>
    <row r="2884" spans="1:11" s="21" customFormat="1">
      <c r="A2884"/>
      <c r="B2884"/>
      <c r="F2884"/>
      <c r="G2884"/>
      <c r="H2884"/>
      <c r="I2884" s="97"/>
      <c r="J2884"/>
      <c r="K2884"/>
    </row>
    <row r="2885" spans="1:11" s="21" customFormat="1">
      <c r="A2885"/>
      <c r="B2885"/>
      <c r="F2885"/>
      <c r="G2885"/>
      <c r="H2885"/>
      <c r="I2885" s="97"/>
      <c r="J2885"/>
      <c r="K2885"/>
    </row>
    <row r="2886" spans="1:11" s="21" customFormat="1">
      <c r="A2886"/>
      <c r="B2886"/>
      <c r="F2886"/>
      <c r="G2886"/>
      <c r="H2886"/>
      <c r="I2886" s="97"/>
      <c r="J2886"/>
      <c r="K2886"/>
    </row>
    <row r="2887" spans="1:11" s="21" customFormat="1">
      <c r="A2887"/>
      <c r="B2887"/>
      <c r="F2887"/>
      <c r="G2887"/>
      <c r="H2887"/>
      <c r="I2887" s="97"/>
      <c r="J2887"/>
      <c r="K2887"/>
    </row>
    <row r="2888" spans="1:11" s="21" customFormat="1">
      <c r="A2888"/>
      <c r="B2888"/>
      <c r="F2888"/>
      <c r="G2888"/>
      <c r="H2888"/>
      <c r="I2888" s="97"/>
      <c r="J2888"/>
      <c r="K2888"/>
    </row>
    <row r="2889" spans="1:11" s="21" customFormat="1">
      <c r="A2889"/>
      <c r="B2889"/>
      <c r="F2889"/>
      <c r="G2889"/>
      <c r="H2889"/>
      <c r="I2889" s="97"/>
      <c r="J2889"/>
      <c r="K2889"/>
    </row>
    <row r="2890" spans="1:11" s="21" customFormat="1">
      <c r="A2890"/>
      <c r="B2890"/>
      <c r="F2890"/>
      <c r="G2890"/>
      <c r="H2890"/>
      <c r="I2890" s="97"/>
      <c r="J2890"/>
      <c r="K2890"/>
    </row>
    <row r="2891" spans="1:11" s="21" customFormat="1">
      <c r="A2891"/>
      <c r="B2891"/>
      <c r="F2891"/>
      <c r="G2891"/>
      <c r="H2891"/>
      <c r="I2891" s="97"/>
      <c r="J2891"/>
      <c r="K2891"/>
    </row>
    <row r="2892" spans="1:11" s="21" customFormat="1">
      <c r="A2892"/>
      <c r="B2892"/>
      <c r="F2892"/>
      <c r="G2892"/>
      <c r="H2892"/>
      <c r="I2892" s="97"/>
      <c r="J2892"/>
      <c r="K2892"/>
    </row>
    <row r="2893" spans="1:11" s="21" customFormat="1">
      <c r="A2893"/>
      <c r="B2893"/>
      <c r="F2893"/>
      <c r="G2893"/>
      <c r="H2893"/>
      <c r="I2893" s="97"/>
      <c r="J2893"/>
      <c r="K2893"/>
    </row>
    <row r="2894" spans="1:11" s="21" customFormat="1">
      <c r="A2894"/>
      <c r="B2894"/>
      <c r="F2894"/>
      <c r="G2894"/>
      <c r="H2894"/>
      <c r="I2894" s="97"/>
      <c r="J2894"/>
      <c r="K2894"/>
    </row>
    <row r="2895" spans="1:11" s="21" customFormat="1">
      <c r="A2895"/>
      <c r="B2895"/>
      <c r="F2895"/>
      <c r="G2895"/>
      <c r="H2895"/>
      <c r="I2895" s="97"/>
      <c r="J2895"/>
      <c r="K2895"/>
    </row>
    <row r="2896" spans="1:11" s="21" customFormat="1">
      <c r="A2896"/>
      <c r="B2896"/>
      <c r="F2896"/>
      <c r="G2896"/>
      <c r="H2896"/>
      <c r="I2896" s="97"/>
      <c r="J2896"/>
      <c r="K2896"/>
    </row>
    <row r="2897" spans="1:11" s="21" customFormat="1">
      <c r="A2897"/>
      <c r="B2897"/>
      <c r="F2897"/>
      <c r="G2897"/>
      <c r="H2897"/>
      <c r="I2897" s="97"/>
      <c r="J2897"/>
      <c r="K2897"/>
    </row>
    <row r="2898" spans="1:11" s="21" customFormat="1">
      <c r="A2898"/>
      <c r="B2898"/>
      <c r="F2898"/>
      <c r="G2898"/>
      <c r="H2898"/>
      <c r="I2898" s="97"/>
      <c r="J2898"/>
      <c r="K2898"/>
    </row>
    <row r="2899" spans="1:11" s="21" customFormat="1">
      <c r="A2899"/>
      <c r="B2899"/>
      <c r="F2899"/>
      <c r="G2899"/>
      <c r="H2899"/>
      <c r="I2899" s="97"/>
      <c r="J2899"/>
      <c r="K2899"/>
    </row>
    <row r="2900" spans="1:11" s="21" customFormat="1">
      <c r="A2900"/>
      <c r="B2900"/>
      <c r="F2900"/>
      <c r="G2900"/>
      <c r="H2900"/>
      <c r="I2900" s="97"/>
      <c r="J2900"/>
      <c r="K2900"/>
    </row>
    <row r="2901" spans="1:11" s="21" customFormat="1">
      <c r="A2901"/>
      <c r="B2901"/>
      <c r="F2901"/>
      <c r="G2901"/>
      <c r="H2901"/>
      <c r="I2901" s="97"/>
      <c r="J2901"/>
      <c r="K2901"/>
    </row>
    <row r="2902" spans="1:11" s="21" customFormat="1">
      <c r="A2902"/>
      <c r="B2902"/>
      <c r="F2902"/>
      <c r="G2902"/>
      <c r="H2902"/>
      <c r="I2902" s="97"/>
      <c r="J2902"/>
      <c r="K2902"/>
    </row>
    <row r="2903" spans="1:11" s="21" customFormat="1">
      <c r="A2903"/>
      <c r="B2903"/>
      <c r="F2903"/>
      <c r="G2903"/>
      <c r="H2903"/>
      <c r="I2903" s="97"/>
      <c r="J2903"/>
      <c r="K2903"/>
    </row>
    <row r="2904" spans="1:11" s="21" customFormat="1">
      <c r="A2904"/>
      <c r="B2904"/>
      <c r="F2904"/>
      <c r="G2904"/>
      <c r="H2904"/>
      <c r="I2904" s="97"/>
      <c r="J2904"/>
      <c r="K2904"/>
    </row>
    <row r="2905" spans="1:11" s="21" customFormat="1">
      <c r="A2905"/>
      <c r="B2905"/>
      <c r="F2905"/>
      <c r="G2905"/>
      <c r="H2905"/>
      <c r="I2905" s="97"/>
      <c r="J2905"/>
      <c r="K2905"/>
    </row>
    <row r="2906" spans="1:11" s="21" customFormat="1">
      <c r="A2906"/>
      <c r="B2906"/>
      <c r="F2906"/>
      <c r="G2906"/>
      <c r="H2906"/>
      <c r="I2906" s="97"/>
      <c r="J2906"/>
      <c r="K2906"/>
    </row>
    <row r="2907" spans="1:11" s="21" customFormat="1">
      <c r="A2907"/>
      <c r="B2907"/>
      <c r="F2907"/>
      <c r="G2907"/>
      <c r="H2907"/>
      <c r="I2907" s="97"/>
      <c r="J2907"/>
      <c r="K2907"/>
    </row>
    <row r="2908" spans="1:11" s="21" customFormat="1">
      <c r="A2908"/>
      <c r="B2908"/>
      <c r="F2908"/>
      <c r="G2908"/>
      <c r="H2908"/>
      <c r="I2908" s="97"/>
      <c r="J2908"/>
      <c r="K2908"/>
    </row>
    <row r="2909" spans="1:11" s="21" customFormat="1">
      <c r="A2909"/>
      <c r="B2909"/>
      <c r="F2909"/>
      <c r="G2909"/>
      <c r="H2909"/>
      <c r="I2909" s="97"/>
      <c r="J2909"/>
      <c r="K2909"/>
    </row>
    <row r="2910" spans="1:11" s="21" customFormat="1">
      <c r="A2910"/>
      <c r="B2910"/>
      <c r="F2910"/>
      <c r="G2910"/>
      <c r="H2910"/>
      <c r="I2910" s="97"/>
      <c r="J2910"/>
      <c r="K2910"/>
    </row>
    <row r="2911" spans="1:11" s="21" customFormat="1">
      <c r="A2911"/>
      <c r="B2911"/>
      <c r="F2911"/>
      <c r="G2911"/>
      <c r="H2911"/>
      <c r="I2911" s="97"/>
      <c r="J2911"/>
      <c r="K2911"/>
    </row>
    <row r="2912" spans="1:11" s="21" customFormat="1">
      <c r="A2912"/>
      <c r="B2912"/>
      <c r="F2912"/>
      <c r="G2912"/>
      <c r="H2912"/>
      <c r="I2912" s="97"/>
      <c r="J2912"/>
      <c r="K2912"/>
    </row>
    <row r="2913" spans="1:11" s="21" customFormat="1">
      <c r="A2913"/>
      <c r="B2913"/>
      <c r="F2913"/>
      <c r="G2913"/>
      <c r="H2913"/>
      <c r="I2913" s="97"/>
      <c r="J2913"/>
      <c r="K2913"/>
    </row>
    <row r="2914" spans="1:11" s="21" customFormat="1">
      <c r="A2914"/>
      <c r="B2914"/>
      <c r="F2914"/>
      <c r="G2914"/>
      <c r="H2914"/>
      <c r="I2914" s="97"/>
      <c r="J2914"/>
      <c r="K2914"/>
    </row>
    <row r="2915" spans="1:11" s="21" customFormat="1">
      <c r="A2915"/>
      <c r="B2915"/>
      <c r="F2915"/>
      <c r="G2915"/>
      <c r="H2915"/>
      <c r="I2915" s="97"/>
      <c r="J2915"/>
      <c r="K2915"/>
    </row>
    <row r="2916" spans="1:11" s="21" customFormat="1">
      <c r="A2916"/>
      <c r="B2916"/>
      <c r="F2916"/>
      <c r="G2916"/>
      <c r="H2916"/>
      <c r="I2916" s="97"/>
      <c r="J2916"/>
      <c r="K2916"/>
    </row>
    <row r="2917" spans="1:11" s="21" customFormat="1">
      <c r="A2917"/>
      <c r="B2917"/>
      <c r="F2917"/>
      <c r="G2917"/>
      <c r="H2917"/>
      <c r="I2917" s="97"/>
      <c r="J2917"/>
      <c r="K2917"/>
    </row>
    <row r="2918" spans="1:11" s="21" customFormat="1">
      <c r="A2918"/>
      <c r="B2918"/>
      <c r="F2918"/>
      <c r="G2918"/>
      <c r="H2918"/>
      <c r="I2918" s="97"/>
      <c r="J2918"/>
      <c r="K2918"/>
    </row>
    <row r="2919" spans="1:11" s="21" customFormat="1">
      <c r="A2919"/>
      <c r="B2919"/>
      <c r="F2919"/>
      <c r="G2919"/>
      <c r="H2919"/>
      <c r="I2919" s="97"/>
      <c r="J2919"/>
      <c r="K2919"/>
    </row>
    <row r="2920" spans="1:11" s="21" customFormat="1">
      <c r="A2920"/>
      <c r="B2920"/>
      <c r="F2920"/>
      <c r="G2920"/>
      <c r="H2920"/>
      <c r="I2920" s="97"/>
      <c r="J2920"/>
      <c r="K2920"/>
    </row>
    <row r="2921" spans="1:11" s="21" customFormat="1">
      <c r="A2921"/>
      <c r="B2921"/>
      <c r="F2921"/>
      <c r="G2921"/>
      <c r="H2921"/>
      <c r="I2921" s="97"/>
      <c r="J2921"/>
      <c r="K2921"/>
    </row>
    <row r="2922" spans="1:11" s="21" customFormat="1">
      <c r="A2922"/>
      <c r="B2922"/>
      <c r="F2922"/>
      <c r="G2922"/>
      <c r="H2922"/>
      <c r="I2922" s="97"/>
      <c r="J2922"/>
      <c r="K2922"/>
    </row>
    <row r="2923" spans="1:11" s="21" customFormat="1">
      <c r="A2923"/>
      <c r="B2923"/>
      <c r="F2923"/>
      <c r="G2923"/>
      <c r="H2923"/>
      <c r="I2923" s="97"/>
      <c r="J2923"/>
      <c r="K2923"/>
    </row>
    <row r="2924" spans="1:11" s="21" customFormat="1">
      <c r="A2924"/>
      <c r="B2924"/>
      <c r="F2924"/>
      <c r="G2924"/>
      <c r="H2924"/>
      <c r="I2924" s="97"/>
      <c r="J2924"/>
      <c r="K2924"/>
    </row>
    <row r="2925" spans="1:11" s="21" customFormat="1">
      <c r="A2925"/>
      <c r="B2925"/>
      <c r="F2925"/>
      <c r="G2925"/>
      <c r="H2925"/>
      <c r="I2925" s="97"/>
      <c r="J2925"/>
      <c r="K2925"/>
    </row>
    <row r="2926" spans="1:11" s="21" customFormat="1">
      <c r="A2926"/>
      <c r="B2926"/>
      <c r="F2926"/>
      <c r="G2926"/>
      <c r="H2926"/>
      <c r="I2926" s="97"/>
      <c r="J2926"/>
      <c r="K2926"/>
    </row>
    <row r="2927" spans="1:11" s="21" customFormat="1">
      <c r="A2927"/>
      <c r="B2927"/>
      <c r="F2927"/>
      <c r="G2927"/>
      <c r="H2927"/>
      <c r="I2927" s="97"/>
      <c r="J2927"/>
      <c r="K2927"/>
    </row>
    <row r="2928" spans="1:11" s="21" customFormat="1">
      <c r="A2928"/>
      <c r="B2928"/>
      <c r="F2928"/>
      <c r="G2928"/>
      <c r="H2928"/>
      <c r="I2928" s="97"/>
      <c r="J2928"/>
      <c r="K2928"/>
    </row>
    <row r="2929" spans="1:11" s="21" customFormat="1">
      <c r="A2929"/>
      <c r="B2929"/>
      <c r="F2929"/>
      <c r="G2929"/>
      <c r="H2929"/>
      <c r="I2929" s="97"/>
      <c r="J2929"/>
      <c r="K2929"/>
    </row>
    <row r="2930" spans="1:11" s="21" customFormat="1">
      <c r="A2930"/>
      <c r="B2930"/>
      <c r="F2930"/>
      <c r="G2930"/>
      <c r="H2930"/>
      <c r="I2930" s="97"/>
      <c r="J2930"/>
      <c r="K2930"/>
    </row>
    <row r="2931" spans="1:11" s="21" customFormat="1">
      <c r="A2931"/>
      <c r="B2931"/>
      <c r="F2931"/>
      <c r="G2931"/>
      <c r="H2931"/>
      <c r="I2931" s="97"/>
      <c r="J2931"/>
      <c r="K2931"/>
    </row>
    <row r="2932" spans="1:11" s="21" customFormat="1">
      <c r="A2932"/>
      <c r="B2932"/>
      <c r="F2932"/>
      <c r="G2932"/>
      <c r="H2932"/>
      <c r="I2932" s="97"/>
      <c r="J2932"/>
      <c r="K2932"/>
    </row>
    <row r="2933" spans="1:11" s="21" customFormat="1">
      <c r="A2933"/>
      <c r="B2933"/>
      <c r="F2933"/>
      <c r="G2933"/>
      <c r="H2933"/>
      <c r="I2933" s="97"/>
      <c r="J2933"/>
      <c r="K2933"/>
    </row>
    <row r="2934" spans="1:11" s="21" customFormat="1">
      <c r="A2934"/>
      <c r="B2934"/>
      <c r="F2934"/>
      <c r="G2934"/>
      <c r="H2934"/>
      <c r="I2934" s="97"/>
      <c r="J2934"/>
      <c r="K2934"/>
    </row>
    <row r="2935" spans="1:11" s="21" customFormat="1">
      <c r="A2935"/>
      <c r="B2935"/>
      <c r="F2935"/>
      <c r="G2935"/>
      <c r="H2935"/>
      <c r="I2935" s="97"/>
      <c r="J2935"/>
      <c r="K2935"/>
    </row>
    <row r="2936" spans="1:11" s="21" customFormat="1">
      <c r="A2936"/>
      <c r="B2936"/>
      <c r="F2936"/>
      <c r="G2936"/>
      <c r="H2936"/>
      <c r="I2936" s="97"/>
      <c r="J2936"/>
      <c r="K2936"/>
    </row>
    <row r="2937" spans="1:11" s="21" customFormat="1">
      <c r="A2937"/>
      <c r="B2937"/>
      <c r="F2937"/>
      <c r="G2937"/>
      <c r="H2937"/>
      <c r="I2937" s="97"/>
      <c r="J2937"/>
      <c r="K2937"/>
    </row>
    <row r="2938" spans="1:11" s="21" customFormat="1">
      <c r="A2938"/>
      <c r="B2938"/>
      <c r="F2938"/>
      <c r="G2938"/>
      <c r="H2938"/>
      <c r="I2938" s="97"/>
      <c r="J2938"/>
      <c r="K2938"/>
    </row>
    <row r="2939" spans="1:11" s="21" customFormat="1">
      <c r="A2939"/>
      <c r="B2939"/>
      <c r="F2939"/>
      <c r="G2939"/>
      <c r="H2939"/>
      <c r="I2939" s="97"/>
      <c r="J2939"/>
      <c r="K2939"/>
    </row>
    <row r="2940" spans="1:11" s="21" customFormat="1">
      <c r="A2940"/>
      <c r="B2940"/>
      <c r="F2940"/>
      <c r="G2940"/>
      <c r="H2940"/>
      <c r="I2940" s="97"/>
      <c r="J2940"/>
      <c r="K2940"/>
    </row>
    <row r="2941" spans="1:11" s="21" customFormat="1">
      <c r="A2941"/>
      <c r="B2941"/>
      <c r="F2941"/>
      <c r="G2941"/>
      <c r="H2941"/>
      <c r="I2941" s="97"/>
      <c r="J2941"/>
      <c r="K2941"/>
    </row>
    <row r="2942" spans="1:11" s="21" customFormat="1">
      <c r="A2942"/>
      <c r="B2942"/>
      <c r="F2942"/>
      <c r="G2942"/>
      <c r="H2942"/>
      <c r="I2942" s="97"/>
      <c r="J2942"/>
      <c r="K2942"/>
    </row>
    <row r="2943" spans="1:11" s="21" customFormat="1">
      <c r="A2943"/>
      <c r="B2943"/>
      <c r="F2943"/>
      <c r="G2943"/>
      <c r="H2943"/>
      <c r="I2943" s="97"/>
      <c r="J2943"/>
      <c r="K2943"/>
    </row>
    <row r="2944" spans="1:11" s="21" customFormat="1">
      <c r="A2944"/>
      <c r="B2944"/>
      <c r="F2944"/>
      <c r="G2944"/>
      <c r="H2944"/>
      <c r="I2944" s="97"/>
      <c r="J2944"/>
      <c r="K2944"/>
    </row>
    <row r="2945" spans="1:11" s="21" customFormat="1">
      <c r="A2945"/>
      <c r="B2945"/>
      <c r="F2945"/>
      <c r="G2945"/>
      <c r="H2945"/>
      <c r="I2945" s="97"/>
      <c r="J2945"/>
      <c r="K2945"/>
    </row>
    <row r="2946" spans="1:11" s="21" customFormat="1">
      <c r="A2946"/>
      <c r="B2946"/>
      <c r="F2946"/>
      <c r="G2946"/>
      <c r="H2946"/>
      <c r="I2946" s="97"/>
      <c r="J2946"/>
      <c r="K2946"/>
    </row>
    <row r="2947" spans="1:11" s="21" customFormat="1">
      <c r="A2947"/>
      <c r="B2947"/>
      <c r="F2947"/>
      <c r="G2947"/>
      <c r="H2947"/>
      <c r="I2947" s="97"/>
      <c r="J2947"/>
      <c r="K2947"/>
    </row>
    <row r="2948" spans="1:11" s="21" customFormat="1">
      <c r="A2948"/>
      <c r="B2948"/>
      <c r="F2948"/>
      <c r="G2948"/>
      <c r="H2948"/>
      <c r="I2948" s="97"/>
      <c r="J2948"/>
      <c r="K2948"/>
    </row>
    <row r="2949" spans="1:11" s="21" customFormat="1">
      <c r="A2949"/>
      <c r="B2949"/>
      <c r="F2949"/>
      <c r="G2949"/>
      <c r="H2949"/>
      <c r="I2949" s="97"/>
      <c r="J2949"/>
      <c r="K2949"/>
    </row>
    <row r="2950" spans="1:11" s="21" customFormat="1">
      <c r="A2950"/>
      <c r="B2950"/>
      <c r="F2950"/>
      <c r="G2950"/>
      <c r="H2950"/>
      <c r="I2950" s="97"/>
      <c r="J2950"/>
      <c r="K2950"/>
    </row>
    <row r="2951" spans="1:11" s="21" customFormat="1">
      <c r="A2951"/>
      <c r="B2951"/>
      <c r="F2951"/>
      <c r="G2951"/>
      <c r="H2951"/>
      <c r="I2951" s="97"/>
      <c r="J2951"/>
      <c r="K2951"/>
    </row>
    <row r="2952" spans="1:11" s="21" customFormat="1">
      <c r="A2952"/>
      <c r="B2952"/>
      <c r="F2952"/>
      <c r="G2952"/>
      <c r="H2952"/>
      <c r="I2952" s="97"/>
      <c r="J2952"/>
      <c r="K2952"/>
    </row>
    <row r="2953" spans="1:11" s="21" customFormat="1">
      <c r="A2953"/>
      <c r="B2953"/>
      <c r="F2953"/>
      <c r="G2953"/>
      <c r="H2953"/>
      <c r="I2953" s="97"/>
      <c r="J2953"/>
      <c r="K2953"/>
    </row>
    <row r="2954" spans="1:11" s="21" customFormat="1">
      <c r="A2954"/>
      <c r="B2954"/>
      <c r="F2954"/>
      <c r="G2954"/>
      <c r="H2954"/>
      <c r="I2954" s="97"/>
      <c r="J2954"/>
      <c r="K2954"/>
    </row>
    <row r="2955" spans="1:11" s="21" customFormat="1">
      <c r="A2955"/>
      <c r="B2955"/>
      <c r="F2955"/>
      <c r="G2955"/>
      <c r="H2955"/>
      <c r="I2955" s="97"/>
      <c r="J2955"/>
      <c r="K2955"/>
    </row>
    <row r="2956" spans="1:11" s="21" customFormat="1">
      <c r="A2956"/>
      <c r="B2956"/>
      <c r="F2956"/>
      <c r="G2956"/>
      <c r="H2956"/>
      <c r="I2956" s="97"/>
      <c r="J2956"/>
      <c r="K2956"/>
    </row>
    <row r="2957" spans="1:11" s="21" customFormat="1">
      <c r="A2957"/>
      <c r="B2957"/>
      <c r="F2957"/>
      <c r="G2957"/>
      <c r="H2957"/>
      <c r="I2957" s="97"/>
      <c r="J2957"/>
      <c r="K2957"/>
    </row>
    <row r="2958" spans="1:11" s="21" customFormat="1">
      <c r="A2958"/>
      <c r="B2958"/>
      <c r="F2958"/>
      <c r="G2958"/>
      <c r="H2958"/>
      <c r="I2958" s="97"/>
      <c r="J2958"/>
      <c r="K2958"/>
    </row>
    <row r="2959" spans="1:11" s="21" customFormat="1">
      <c r="A2959"/>
      <c r="B2959"/>
      <c r="F2959"/>
      <c r="G2959"/>
      <c r="H2959"/>
      <c r="I2959" s="97"/>
      <c r="J2959"/>
      <c r="K2959"/>
    </row>
    <row r="2960" spans="1:11" s="21" customFormat="1">
      <c r="A2960"/>
      <c r="B2960"/>
      <c r="F2960"/>
      <c r="G2960"/>
      <c r="H2960"/>
      <c r="I2960" s="97"/>
      <c r="J2960"/>
      <c r="K2960"/>
    </row>
    <row r="2961" spans="1:11" s="21" customFormat="1">
      <c r="A2961"/>
      <c r="B2961"/>
      <c r="F2961"/>
      <c r="G2961"/>
      <c r="H2961"/>
      <c r="I2961" s="97"/>
      <c r="J2961"/>
      <c r="K2961"/>
    </row>
    <row r="2962" spans="1:11" s="21" customFormat="1">
      <c r="A2962"/>
      <c r="B2962"/>
      <c r="F2962"/>
      <c r="G2962"/>
      <c r="H2962"/>
      <c r="I2962" s="97"/>
      <c r="J2962"/>
      <c r="K2962"/>
    </row>
    <row r="2963" spans="1:11" s="21" customFormat="1">
      <c r="A2963"/>
      <c r="B2963"/>
      <c r="F2963"/>
      <c r="G2963"/>
      <c r="H2963"/>
      <c r="I2963" s="97"/>
      <c r="J2963"/>
      <c r="K2963"/>
    </row>
    <row r="2964" spans="1:11" s="21" customFormat="1">
      <c r="A2964"/>
      <c r="B2964"/>
      <c r="F2964"/>
      <c r="G2964"/>
      <c r="H2964"/>
      <c r="I2964" s="97"/>
      <c r="J2964"/>
      <c r="K2964"/>
    </row>
    <row r="2965" spans="1:11" s="21" customFormat="1">
      <c r="A2965"/>
      <c r="B2965"/>
      <c r="F2965"/>
      <c r="G2965"/>
      <c r="H2965"/>
      <c r="I2965" s="97"/>
      <c r="J2965"/>
      <c r="K2965"/>
    </row>
    <row r="2966" spans="1:11" s="21" customFormat="1">
      <c r="A2966"/>
      <c r="B2966"/>
      <c r="F2966"/>
      <c r="G2966"/>
      <c r="H2966"/>
      <c r="I2966" s="97"/>
      <c r="J2966"/>
      <c r="K2966"/>
    </row>
    <row r="2967" spans="1:11" s="21" customFormat="1">
      <c r="A2967"/>
      <c r="B2967"/>
      <c r="F2967"/>
      <c r="G2967"/>
      <c r="H2967"/>
      <c r="I2967" s="97"/>
      <c r="J2967"/>
      <c r="K2967"/>
    </row>
    <row r="2968" spans="1:11" s="21" customFormat="1">
      <c r="A2968"/>
      <c r="B2968"/>
      <c r="F2968"/>
      <c r="G2968"/>
      <c r="H2968"/>
      <c r="I2968" s="97"/>
      <c r="J2968"/>
      <c r="K2968"/>
    </row>
    <row r="2969" spans="1:11" s="21" customFormat="1">
      <c r="A2969"/>
      <c r="B2969"/>
      <c r="F2969"/>
      <c r="G2969"/>
      <c r="H2969"/>
      <c r="I2969" s="97"/>
      <c r="J2969"/>
      <c r="K2969"/>
    </row>
    <row r="2970" spans="1:11" s="21" customFormat="1">
      <c r="A2970"/>
      <c r="B2970"/>
      <c r="F2970"/>
      <c r="G2970"/>
      <c r="H2970"/>
      <c r="I2970" s="97"/>
      <c r="J2970"/>
      <c r="K2970"/>
    </row>
    <row r="2971" spans="1:11" s="21" customFormat="1">
      <c r="A2971"/>
      <c r="B2971"/>
      <c r="F2971"/>
      <c r="G2971"/>
      <c r="H2971"/>
      <c r="I2971" s="97"/>
      <c r="J2971"/>
      <c r="K2971"/>
    </row>
    <row r="2972" spans="1:11" s="21" customFormat="1">
      <c r="A2972"/>
      <c r="B2972"/>
      <c r="F2972"/>
      <c r="G2972"/>
      <c r="H2972"/>
      <c r="I2972" s="97"/>
      <c r="J2972"/>
      <c r="K2972"/>
    </row>
    <row r="2973" spans="1:11" s="21" customFormat="1">
      <c r="A2973"/>
      <c r="B2973"/>
      <c r="F2973"/>
      <c r="G2973"/>
      <c r="H2973"/>
      <c r="I2973" s="97"/>
      <c r="J2973"/>
      <c r="K2973"/>
    </row>
    <row r="2974" spans="1:11" s="21" customFormat="1">
      <c r="A2974"/>
      <c r="B2974"/>
      <c r="F2974"/>
      <c r="G2974"/>
      <c r="H2974"/>
      <c r="I2974" s="97"/>
      <c r="J2974"/>
      <c r="K2974"/>
    </row>
    <row r="2975" spans="1:11" s="21" customFormat="1">
      <c r="A2975"/>
      <c r="B2975"/>
      <c r="F2975"/>
      <c r="G2975"/>
      <c r="H2975"/>
      <c r="I2975" s="97"/>
      <c r="J2975"/>
      <c r="K2975"/>
    </row>
    <row r="2976" spans="1:11" s="21" customFormat="1">
      <c r="A2976"/>
      <c r="B2976"/>
      <c r="F2976"/>
      <c r="G2976"/>
      <c r="H2976"/>
      <c r="I2976" s="97"/>
      <c r="J2976"/>
      <c r="K2976"/>
    </row>
    <row r="2977" spans="1:11" s="21" customFormat="1">
      <c r="A2977"/>
      <c r="B2977"/>
      <c r="F2977"/>
      <c r="G2977"/>
      <c r="H2977"/>
      <c r="I2977" s="97"/>
      <c r="J2977"/>
      <c r="K2977"/>
    </row>
    <row r="2978" spans="1:11" s="21" customFormat="1">
      <c r="A2978"/>
      <c r="B2978"/>
      <c r="F2978"/>
      <c r="G2978"/>
      <c r="H2978"/>
      <c r="I2978" s="97"/>
      <c r="J2978"/>
      <c r="K2978"/>
    </row>
    <row r="2979" spans="1:11" s="21" customFormat="1">
      <c r="A2979"/>
      <c r="B2979"/>
      <c r="F2979"/>
      <c r="G2979"/>
      <c r="H2979"/>
      <c r="I2979" s="97"/>
      <c r="J2979"/>
      <c r="K2979"/>
    </row>
    <row r="2980" spans="1:11" s="21" customFormat="1">
      <c r="A2980"/>
      <c r="B2980"/>
      <c r="F2980"/>
      <c r="G2980"/>
      <c r="H2980"/>
      <c r="I2980" s="97"/>
      <c r="J2980"/>
      <c r="K2980"/>
    </row>
    <row r="2981" spans="1:11" s="21" customFormat="1">
      <c r="A2981"/>
      <c r="B2981"/>
      <c r="F2981"/>
      <c r="G2981"/>
      <c r="H2981"/>
      <c r="I2981" s="97"/>
      <c r="J2981"/>
      <c r="K2981"/>
    </row>
    <row r="2982" spans="1:11" s="21" customFormat="1">
      <c r="A2982"/>
      <c r="B2982"/>
      <c r="F2982"/>
      <c r="G2982"/>
      <c r="H2982"/>
      <c r="I2982" s="97"/>
      <c r="J2982"/>
      <c r="K2982"/>
    </row>
    <row r="2983" spans="1:11" s="21" customFormat="1">
      <c r="A2983"/>
      <c r="B2983"/>
      <c r="F2983"/>
      <c r="G2983"/>
      <c r="H2983"/>
      <c r="I2983" s="97"/>
      <c r="J2983"/>
      <c r="K2983"/>
    </row>
    <row r="2984" spans="1:11" s="21" customFormat="1">
      <c r="A2984"/>
      <c r="B2984"/>
      <c r="F2984"/>
      <c r="G2984"/>
      <c r="H2984"/>
      <c r="I2984" s="97"/>
      <c r="J2984"/>
      <c r="K2984"/>
    </row>
    <row r="2985" spans="1:11" s="21" customFormat="1">
      <c r="A2985"/>
      <c r="B2985"/>
      <c r="F2985"/>
      <c r="G2985"/>
      <c r="H2985"/>
      <c r="I2985" s="97"/>
      <c r="J2985"/>
      <c r="K2985"/>
    </row>
    <row r="2986" spans="1:11" s="21" customFormat="1">
      <c r="A2986"/>
      <c r="B2986"/>
      <c r="F2986"/>
      <c r="G2986"/>
      <c r="H2986"/>
      <c r="I2986" s="97"/>
      <c r="J2986"/>
      <c r="K2986"/>
    </row>
    <row r="2987" spans="1:11" s="21" customFormat="1">
      <c r="A2987"/>
      <c r="B2987"/>
      <c r="F2987"/>
      <c r="G2987"/>
      <c r="H2987"/>
      <c r="I2987" s="97"/>
      <c r="J2987"/>
      <c r="K2987"/>
    </row>
    <row r="2988" spans="1:11" s="21" customFormat="1">
      <c r="A2988"/>
      <c r="B2988"/>
      <c r="F2988"/>
      <c r="G2988"/>
      <c r="H2988"/>
      <c r="I2988" s="97"/>
      <c r="J2988"/>
      <c r="K2988"/>
    </row>
    <row r="2989" spans="1:11" s="21" customFormat="1">
      <c r="A2989"/>
      <c r="B2989"/>
      <c r="F2989"/>
      <c r="G2989"/>
      <c r="H2989"/>
      <c r="I2989" s="97"/>
      <c r="J2989"/>
      <c r="K2989"/>
    </row>
    <row r="2990" spans="1:11" s="21" customFormat="1">
      <c r="A2990"/>
      <c r="B2990"/>
      <c r="F2990"/>
      <c r="G2990"/>
      <c r="H2990"/>
      <c r="I2990" s="97"/>
      <c r="J2990"/>
      <c r="K2990"/>
    </row>
    <row r="2991" spans="1:11" s="21" customFormat="1">
      <c r="A2991"/>
      <c r="B2991"/>
      <c r="F2991"/>
      <c r="G2991"/>
      <c r="H2991"/>
      <c r="I2991" s="97"/>
      <c r="J2991"/>
      <c r="K2991"/>
    </row>
    <row r="2992" spans="1:11" s="21" customFormat="1">
      <c r="A2992"/>
      <c r="B2992"/>
      <c r="F2992"/>
      <c r="G2992"/>
      <c r="H2992"/>
      <c r="I2992" s="97"/>
      <c r="J2992"/>
      <c r="K2992"/>
    </row>
    <row r="2993" spans="1:11" s="21" customFormat="1">
      <c r="A2993"/>
      <c r="B2993"/>
      <c r="F2993"/>
      <c r="G2993"/>
      <c r="H2993"/>
      <c r="I2993" s="97"/>
      <c r="J2993"/>
      <c r="K2993"/>
    </row>
    <row r="2994" spans="1:11" s="21" customFormat="1">
      <c r="A2994"/>
      <c r="B2994"/>
      <c r="F2994"/>
      <c r="G2994"/>
      <c r="H2994"/>
      <c r="I2994" s="97"/>
      <c r="J2994"/>
      <c r="K2994"/>
    </row>
    <row r="2995" spans="1:11" s="21" customFormat="1">
      <c r="A2995"/>
      <c r="B2995"/>
      <c r="F2995"/>
      <c r="G2995"/>
      <c r="H2995"/>
      <c r="I2995" s="97"/>
      <c r="J2995"/>
      <c r="K2995"/>
    </row>
    <row r="2996" spans="1:11" s="21" customFormat="1">
      <c r="A2996"/>
      <c r="B2996"/>
      <c r="F2996"/>
      <c r="G2996"/>
      <c r="H2996"/>
      <c r="I2996" s="97"/>
      <c r="J2996"/>
      <c r="K2996"/>
    </row>
    <row r="2997" spans="1:11" s="21" customFormat="1">
      <c r="A2997"/>
      <c r="B2997"/>
      <c r="F2997"/>
      <c r="G2997"/>
      <c r="H2997"/>
      <c r="I2997" s="97"/>
      <c r="J2997"/>
      <c r="K2997"/>
    </row>
    <row r="2998" spans="1:11" s="21" customFormat="1">
      <c r="A2998"/>
      <c r="B2998"/>
      <c r="F2998"/>
      <c r="G2998"/>
      <c r="H2998"/>
      <c r="I2998" s="97"/>
      <c r="J2998"/>
      <c r="K2998"/>
    </row>
    <row r="2999" spans="1:11" s="21" customFormat="1">
      <c r="A2999"/>
      <c r="B2999"/>
      <c r="F2999"/>
      <c r="G2999"/>
      <c r="H2999"/>
      <c r="I2999" s="97"/>
      <c r="J2999"/>
      <c r="K2999"/>
    </row>
    <row r="3000" spans="1:11" s="21" customFormat="1">
      <c r="A3000"/>
      <c r="B3000"/>
      <c r="F3000"/>
      <c r="G3000"/>
      <c r="H3000"/>
      <c r="I3000" s="97"/>
      <c r="J3000"/>
      <c r="K3000"/>
    </row>
    <row r="3001" spans="1:11" s="21" customFormat="1">
      <c r="A3001"/>
      <c r="B3001"/>
      <c r="F3001"/>
      <c r="G3001"/>
      <c r="H3001"/>
      <c r="I3001" s="97"/>
      <c r="J3001"/>
      <c r="K3001"/>
    </row>
    <row r="3002" spans="1:11" s="21" customFormat="1">
      <c r="A3002"/>
      <c r="B3002"/>
      <c r="F3002"/>
      <c r="G3002"/>
      <c r="H3002"/>
      <c r="I3002" s="97"/>
      <c r="J3002"/>
      <c r="K3002"/>
    </row>
    <row r="3003" spans="1:11" s="21" customFormat="1">
      <c r="A3003"/>
      <c r="B3003"/>
      <c r="F3003"/>
      <c r="G3003"/>
      <c r="H3003"/>
      <c r="I3003" s="97"/>
      <c r="J3003"/>
      <c r="K3003"/>
    </row>
    <row r="3004" spans="1:11" s="21" customFormat="1">
      <c r="A3004"/>
      <c r="B3004"/>
      <c r="F3004"/>
      <c r="G3004"/>
      <c r="H3004"/>
      <c r="I3004" s="97"/>
      <c r="J3004"/>
      <c r="K3004"/>
    </row>
    <row r="3005" spans="1:11" s="21" customFormat="1">
      <c r="A3005"/>
      <c r="B3005"/>
      <c r="F3005"/>
      <c r="G3005"/>
      <c r="H3005"/>
      <c r="I3005" s="97"/>
      <c r="J3005"/>
      <c r="K3005"/>
    </row>
    <row r="3006" spans="1:11" s="21" customFormat="1">
      <c r="A3006"/>
      <c r="B3006"/>
      <c r="F3006"/>
      <c r="G3006"/>
      <c r="H3006"/>
      <c r="I3006" s="97"/>
      <c r="J3006"/>
      <c r="K3006"/>
    </row>
    <row r="3007" spans="1:11" s="21" customFormat="1">
      <c r="A3007"/>
      <c r="B3007"/>
      <c r="F3007"/>
      <c r="G3007"/>
      <c r="H3007"/>
      <c r="I3007" s="97"/>
      <c r="J3007"/>
      <c r="K3007"/>
    </row>
    <row r="3008" spans="1:11" s="21" customFormat="1">
      <c r="A3008"/>
      <c r="B3008"/>
      <c r="F3008"/>
      <c r="G3008"/>
      <c r="H3008"/>
      <c r="I3008" s="97"/>
      <c r="J3008"/>
      <c r="K3008"/>
    </row>
    <row r="3009" spans="1:11" s="21" customFormat="1">
      <c r="A3009"/>
      <c r="B3009"/>
      <c r="F3009"/>
      <c r="G3009"/>
      <c r="H3009"/>
      <c r="I3009" s="97"/>
      <c r="J3009"/>
      <c r="K3009"/>
    </row>
    <row r="3010" spans="1:11" s="21" customFormat="1">
      <c r="A3010"/>
      <c r="B3010"/>
      <c r="F3010"/>
      <c r="G3010"/>
      <c r="H3010"/>
      <c r="I3010" s="97"/>
      <c r="J3010"/>
      <c r="K3010"/>
    </row>
    <row r="3011" spans="1:11" s="21" customFormat="1">
      <c r="A3011"/>
      <c r="B3011"/>
      <c r="F3011"/>
      <c r="G3011"/>
      <c r="H3011"/>
      <c r="I3011" s="97"/>
      <c r="J3011"/>
      <c r="K3011"/>
    </row>
    <row r="3012" spans="1:11" s="21" customFormat="1">
      <c r="A3012"/>
      <c r="B3012"/>
      <c r="F3012"/>
      <c r="G3012"/>
      <c r="H3012"/>
      <c r="I3012" s="97"/>
      <c r="J3012"/>
      <c r="K3012"/>
    </row>
    <row r="3013" spans="1:11" s="21" customFormat="1">
      <c r="A3013"/>
      <c r="B3013"/>
      <c r="F3013"/>
      <c r="G3013"/>
      <c r="H3013"/>
      <c r="I3013" s="97"/>
      <c r="J3013"/>
      <c r="K3013"/>
    </row>
    <row r="3014" spans="1:11" s="21" customFormat="1">
      <c r="A3014"/>
      <c r="B3014"/>
      <c r="F3014"/>
      <c r="G3014"/>
      <c r="H3014"/>
      <c r="I3014" s="97"/>
      <c r="J3014"/>
      <c r="K3014"/>
    </row>
    <row r="3015" spans="1:11" s="21" customFormat="1">
      <c r="A3015"/>
      <c r="B3015"/>
      <c r="F3015"/>
      <c r="G3015"/>
      <c r="H3015"/>
      <c r="I3015" s="97"/>
      <c r="J3015"/>
      <c r="K3015"/>
    </row>
    <row r="3016" spans="1:11" s="21" customFormat="1">
      <c r="A3016"/>
      <c r="B3016"/>
      <c r="F3016"/>
      <c r="G3016"/>
      <c r="H3016"/>
      <c r="I3016" s="97"/>
      <c r="J3016"/>
      <c r="K3016"/>
    </row>
    <row r="3017" spans="1:11" s="21" customFormat="1">
      <c r="A3017"/>
      <c r="B3017"/>
      <c r="F3017"/>
      <c r="G3017"/>
      <c r="H3017"/>
      <c r="I3017" s="97"/>
      <c r="J3017"/>
      <c r="K3017"/>
    </row>
    <row r="3018" spans="1:11" s="21" customFormat="1">
      <c r="A3018"/>
      <c r="B3018"/>
      <c r="F3018"/>
      <c r="G3018"/>
      <c r="H3018"/>
      <c r="I3018" s="97"/>
      <c r="J3018"/>
      <c r="K3018"/>
    </row>
    <row r="3019" spans="1:11" s="21" customFormat="1">
      <c r="A3019"/>
      <c r="B3019"/>
      <c r="F3019"/>
      <c r="G3019"/>
      <c r="H3019"/>
      <c r="I3019" s="97"/>
      <c r="J3019"/>
      <c r="K3019"/>
    </row>
    <row r="3020" spans="1:11" s="21" customFormat="1">
      <c r="A3020"/>
      <c r="B3020"/>
      <c r="F3020"/>
      <c r="G3020"/>
      <c r="H3020"/>
      <c r="I3020" s="97"/>
      <c r="J3020"/>
      <c r="K3020"/>
    </row>
    <row r="3021" spans="1:11" s="21" customFormat="1">
      <c r="A3021"/>
      <c r="B3021"/>
      <c r="F3021"/>
      <c r="G3021"/>
      <c r="H3021"/>
      <c r="I3021" s="97"/>
      <c r="J3021"/>
      <c r="K3021"/>
    </row>
    <row r="3022" spans="1:11" s="21" customFormat="1">
      <c r="A3022"/>
      <c r="B3022"/>
      <c r="F3022"/>
      <c r="G3022"/>
      <c r="H3022"/>
      <c r="I3022" s="97"/>
      <c r="J3022"/>
      <c r="K3022"/>
    </row>
    <row r="3023" spans="1:11" s="21" customFormat="1">
      <c r="A3023"/>
      <c r="B3023"/>
      <c r="F3023"/>
      <c r="G3023"/>
      <c r="H3023"/>
      <c r="I3023" s="97"/>
      <c r="J3023"/>
      <c r="K3023"/>
    </row>
    <row r="3024" spans="1:11" s="21" customFormat="1">
      <c r="A3024"/>
      <c r="B3024"/>
      <c r="F3024"/>
      <c r="G3024"/>
      <c r="H3024"/>
      <c r="I3024" s="97"/>
      <c r="J3024"/>
      <c r="K3024"/>
    </row>
    <row r="3025" spans="1:11" s="21" customFormat="1">
      <c r="A3025"/>
      <c r="B3025"/>
      <c r="F3025"/>
      <c r="G3025"/>
      <c r="H3025"/>
      <c r="I3025" s="97"/>
      <c r="J3025"/>
      <c r="K3025"/>
    </row>
    <row r="3026" spans="1:11" s="21" customFormat="1">
      <c r="A3026"/>
      <c r="B3026"/>
      <c r="F3026"/>
      <c r="G3026"/>
      <c r="H3026"/>
      <c r="I3026" s="97"/>
      <c r="J3026"/>
      <c r="K3026"/>
    </row>
    <row r="3027" spans="1:11" s="21" customFormat="1">
      <c r="A3027"/>
      <c r="B3027"/>
      <c r="F3027"/>
      <c r="G3027"/>
      <c r="H3027"/>
      <c r="I3027" s="97"/>
      <c r="J3027"/>
      <c r="K3027"/>
    </row>
    <row r="3028" spans="1:11" s="21" customFormat="1">
      <c r="A3028"/>
      <c r="B3028"/>
      <c r="F3028"/>
      <c r="G3028"/>
      <c r="H3028"/>
      <c r="I3028" s="97"/>
      <c r="J3028"/>
      <c r="K3028"/>
    </row>
    <row r="3029" spans="1:11" s="21" customFormat="1">
      <c r="A3029"/>
      <c r="B3029"/>
      <c r="F3029"/>
      <c r="G3029"/>
      <c r="H3029"/>
      <c r="I3029" s="97"/>
      <c r="J3029"/>
      <c r="K3029"/>
    </row>
    <row r="3030" spans="1:11" s="21" customFormat="1">
      <c r="A3030"/>
      <c r="B3030"/>
      <c r="F3030"/>
      <c r="G3030"/>
      <c r="H3030"/>
      <c r="I3030" s="97"/>
      <c r="J3030"/>
      <c r="K3030"/>
    </row>
    <row r="3031" spans="1:11" s="21" customFormat="1">
      <c r="A3031"/>
      <c r="B3031"/>
      <c r="F3031"/>
      <c r="G3031"/>
      <c r="H3031"/>
      <c r="I3031" s="97"/>
      <c r="J3031"/>
      <c r="K3031"/>
    </row>
    <row r="3032" spans="1:11" s="21" customFormat="1">
      <c r="A3032"/>
      <c r="B3032"/>
      <c r="F3032"/>
      <c r="G3032"/>
      <c r="H3032"/>
      <c r="I3032" s="97"/>
      <c r="J3032"/>
      <c r="K3032"/>
    </row>
    <row r="3033" spans="1:11" s="21" customFormat="1">
      <c r="A3033"/>
      <c r="B3033"/>
      <c r="F3033"/>
      <c r="G3033"/>
      <c r="H3033"/>
      <c r="I3033" s="97"/>
      <c r="J3033"/>
      <c r="K3033"/>
    </row>
    <row r="3034" spans="1:11" s="21" customFormat="1">
      <c r="A3034"/>
      <c r="B3034"/>
      <c r="F3034"/>
      <c r="G3034"/>
      <c r="H3034"/>
      <c r="I3034" s="97"/>
      <c r="J3034"/>
      <c r="K3034"/>
    </row>
    <row r="3035" spans="1:11" s="21" customFormat="1">
      <c r="A3035"/>
      <c r="B3035"/>
      <c r="F3035"/>
      <c r="G3035"/>
      <c r="H3035"/>
      <c r="I3035" s="97"/>
      <c r="J3035"/>
      <c r="K3035"/>
    </row>
    <row r="3036" spans="1:11" s="21" customFormat="1">
      <c r="A3036"/>
      <c r="B3036"/>
      <c r="F3036"/>
      <c r="G3036"/>
      <c r="H3036"/>
      <c r="I3036" s="97"/>
      <c r="J3036"/>
      <c r="K3036"/>
    </row>
    <row r="3037" spans="1:11" s="21" customFormat="1">
      <c r="A3037"/>
      <c r="B3037"/>
      <c r="F3037"/>
      <c r="G3037"/>
      <c r="H3037"/>
      <c r="I3037" s="97"/>
      <c r="J3037"/>
      <c r="K3037"/>
    </row>
    <row r="3038" spans="1:11" s="21" customFormat="1">
      <c r="A3038"/>
      <c r="B3038"/>
      <c r="F3038"/>
      <c r="G3038"/>
      <c r="H3038"/>
      <c r="I3038" s="97"/>
      <c r="J3038"/>
      <c r="K3038"/>
    </row>
    <row r="3039" spans="1:11" s="21" customFormat="1">
      <c r="A3039"/>
      <c r="B3039"/>
      <c r="F3039"/>
      <c r="G3039"/>
      <c r="H3039"/>
      <c r="I3039" s="97"/>
      <c r="J3039"/>
      <c r="K3039"/>
    </row>
    <row r="3040" spans="1:11" s="21" customFormat="1">
      <c r="A3040"/>
      <c r="B3040"/>
      <c r="F3040"/>
      <c r="G3040"/>
      <c r="H3040"/>
      <c r="I3040" s="97"/>
      <c r="J3040"/>
      <c r="K3040"/>
    </row>
    <row r="3041" spans="1:11" s="21" customFormat="1">
      <c r="A3041"/>
      <c r="B3041"/>
      <c r="F3041"/>
      <c r="G3041"/>
      <c r="H3041"/>
      <c r="I3041" s="97"/>
      <c r="J3041"/>
      <c r="K3041"/>
    </row>
    <row r="3042" spans="1:11" s="21" customFormat="1">
      <c r="A3042"/>
      <c r="B3042"/>
      <c r="F3042"/>
      <c r="G3042"/>
      <c r="H3042"/>
      <c r="I3042" s="97"/>
      <c r="J3042"/>
      <c r="K3042"/>
    </row>
    <row r="3043" spans="1:11" s="21" customFormat="1">
      <c r="A3043"/>
      <c r="B3043"/>
      <c r="F3043"/>
      <c r="G3043"/>
      <c r="H3043"/>
      <c r="I3043" s="97"/>
      <c r="J3043"/>
      <c r="K3043"/>
    </row>
    <row r="3044" spans="1:11" s="21" customFormat="1">
      <c r="A3044"/>
      <c r="B3044"/>
      <c r="F3044"/>
      <c r="G3044"/>
      <c r="H3044"/>
      <c r="I3044" s="97"/>
      <c r="J3044"/>
      <c r="K3044"/>
    </row>
    <row r="3045" spans="1:11" s="21" customFormat="1">
      <c r="A3045"/>
      <c r="B3045"/>
      <c r="F3045"/>
      <c r="G3045"/>
      <c r="H3045"/>
      <c r="I3045" s="97"/>
      <c r="J3045"/>
      <c r="K3045"/>
    </row>
    <row r="3046" spans="1:11" s="21" customFormat="1">
      <c r="A3046"/>
      <c r="B3046"/>
      <c r="F3046"/>
      <c r="G3046"/>
      <c r="H3046"/>
      <c r="I3046" s="97"/>
      <c r="J3046"/>
      <c r="K3046"/>
    </row>
    <row r="3047" spans="1:11" s="21" customFormat="1">
      <c r="A3047"/>
      <c r="B3047"/>
      <c r="F3047"/>
      <c r="G3047"/>
      <c r="H3047"/>
      <c r="I3047" s="97"/>
      <c r="J3047"/>
      <c r="K3047"/>
    </row>
    <row r="3048" spans="1:11" s="21" customFormat="1">
      <c r="A3048"/>
      <c r="B3048"/>
      <c r="F3048"/>
      <c r="G3048"/>
      <c r="H3048"/>
      <c r="I3048" s="97"/>
      <c r="J3048"/>
      <c r="K3048"/>
    </row>
    <row r="3049" spans="1:11" s="21" customFormat="1">
      <c r="A3049"/>
      <c r="B3049"/>
      <c r="F3049"/>
      <c r="G3049"/>
      <c r="H3049"/>
      <c r="I3049" s="97"/>
      <c r="J3049"/>
      <c r="K3049"/>
    </row>
    <row r="3050" spans="1:11" s="21" customFormat="1">
      <c r="A3050"/>
      <c r="B3050"/>
      <c r="F3050"/>
      <c r="G3050"/>
      <c r="H3050"/>
      <c r="I3050" s="97"/>
      <c r="J3050"/>
      <c r="K3050"/>
    </row>
    <row r="3051" spans="1:11" s="21" customFormat="1">
      <c r="A3051"/>
      <c r="B3051"/>
      <c r="F3051"/>
      <c r="G3051"/>
      <c r="H3051"/>
      <c r="I3051" s="97"/>
      <c r="J3051"/>
      <c r="K3051"/>
    </row>
    <row r="3052" spans="1:11" s="21" customFormat="1">
      <c r="A3052"/>
      <c r="B3052"/>
      <c r="F3052"/>
      <c r="G3052"/>
      <c r="H3052"/>
      <c r="I3052" s="97"/>
      <c r="J3052"/>
      <c r="K3052"/>
    </row>
    <row r="3053" spans="1:11" s="21" customFormat="1">
      <c r="A3053"/>
      <c r="B3053"/>
      <c r="F3053"/>
      <c r="G3053"/>
      <c r="H3053"/>
      <c r="I3053" s="97"/>
      <c r="J3053"/>
      <c r="K3053"/>
    </row>
    <row r="3054" spans="1:11" s="21" customFormat="1">
      <c r="A3054"/>
      <c r="B3054"/>
      <c r="F3054"/>
      <c r="G3054"/>
      <c r="H3054"/>
      <c r="I3054" s="97"/>
      <c r="J3054"/>
      <c r="K3054"/>
    </row>
    <row r="3055" spans="1:11" s="21" customFormat="1">
      <c r="A3055"/>
      <c r="B3055"/>
      <c r="F3055"/>
      <c r="G3055"/>
      <c r="H3055"/>
      <c r="I3055" s="97"/>
      <c r="J3055"/>
      <c r="K3055"/>
    </row>
    <row r="3056" spans="1:11" s="21" customFormat="1">
      <c r="A3056"/>
      <c r="B3056"/>
      <c r="F3056"/>
      <c r="G3056"/>
      <c r="H3056"/>
      <c r="I3056" s="97"/>
      <c r="J3056"/>
      <c r="K3056"/>
    </row>
    <row r="3057" spans="1:11" s="21" customFormat="1">
      <c r="A3057"/>
      <c r="B3057"/>
      <c r="F3057"/>
      <c r="G3057"/>
      <c r="H3057"/>
      <c r="I3057" s="97"/>
      <c r="J3057"/>
      <c r="K3057"/>
    </row>
    <row r="3058" spans="1:11" s="21" customFormat="1">
      <c r="A3058"/>
      <c r="B3058"/>
      <c r="F3058"/>
      <c r="G3058"/>
      <c r="H3058"/>
      <c r="I3058" s="97"/>
      <c r="J3058"/>
      <c r="K3058"/>
    </row>
    <row r="3059" spans="1:11" s="21" customFormat="1">
      <c r="A3059"/>
      <c r="B3059"/>
      <c r="F3059"/>
      <c r="G3059"/>
      <c r="H3059"/>
      <c r="I3059" s="97"/>
      <c r="J3059"/>
      <c r="K3059"/>
    </row>
    <row r="3060" spans="1:11" s="21" customFormat="1">
      <c r="A3060"/>
      <c r="B3060"/>
      <c r="F3060"/>
      <c r="G3060"/>
      <c r="H3060"/>
      <c r="I3060" s="97"/>
      <c r="J3060"/>
      <c r="K3060"/>
    </row>
    <row r="3061" spans="1:11" s="21" customFormat="1">
      <c r="A3061"/>
      <c r="B3061"/>
      <c r="F3061"/>
      <c r="G3061"/>
      <c r="H3061"/>
      <c r="I3061" s="97"/>
      <c r="J3061"/>
      <c r="K3061"/>
    </row>
    <row r="3062" spans="1:11" s="21" customFormat="1">
      <c r="A3062"/>
      <c r="B3062"/>
      <c r="F3062"/>
      <c r="G3062"/>
      <c r="H3062"/>
      <c r="I3062" s="97"/>
      <c r="J3062"/>
      <c r="K3062"/>
    </row>
    <row r="3063" spans="1:11" s="21" customFormat="1">
      <c r="A3063"/>
      <c r="B3063"/>
      <c r="F3063"/>
      <c r="G3063"/>
      <c r="H3063"/>
      <c r="I3063" s="97"/>
      <c r="J3063"/>
      <c r="K3063"/>
    </row>
    <row r="3064" spans="1:11" s="21" customFormat="1">
      <c r="A3064"/>
      <c r="B3064"/>
      <c r="F3064"/>
      <c r="G3064"/>
      <c r="H3064"/>
      <c r="I3064" s="97"/>
      <c r="J3064"/>
      <c r="K3064"/>
    </row>
    <row r="3065" spans="1:11" s="21" customFormat="1">
      <c r="A3065"/>
      <c r="B3065"/>
      <c r="F3065"/>
      <c r="G3065"/>
      <c r="H3065"/>
      <c r="I3065" s="97"/>
      <c r="J3065"/>
      <c r="K3065"/>
    </row>
    <row r="3066" spans="1:11" s="21" customFormat="1">
      <c r="A3066"/>
      <c r="B3066"/>
      <c r="F3066"/>
      <c r="G3066"/>
      <c r="H3066"/>
      <c r="I3066" s="97"/>
      <c r="J3066"/>
      <c r="K3066"/>
    </row>
    <row r="3067" spans="1:11" s="21" customFormat="1">
      <c r="A3067"/>
      <c r="B3067"/>
      <c r="F3067"/>
      <c r="G3067"/>
      <c r="H3067"/>
      <c r="I3067" s="97"/>
      <c r="J3067"/>
      <c r="K3067"/>
    </row>
    <row r="3068" spans="1:11" s="21" customFormat="1">
      <c r="A3068"/>
      <c r="B3068"/>
      <c r="F3068"/>
      <c r="G3068"/>
      <c r="H3068"/>
      <c r="I3068" s="97"/>
      <c r="J3068"/>
      <c r="K3068"/>
    </row>
    <row r="3069" spans="1:11" s="21" customFormat="1">
      <c r="A3069"/>
      <c r="B3069"/>
      <c r="F3069"/>
      <c r="G3069"/>
      <c r="H3069"/>
      <c r="I3069" s="97"/>
      <c r="J3069"/>
      <c r="K3069"/>
    </row>
    <row r="3070" spans="1:11" s="21" customFormat="1">
      <c r="A3070"/>
      <c r="B3070"/>
      <c r="F3070"/>
      <c r="G3070"/>
      <c r="H3070"/>
      <c r="I3070" s="97"/>
      <c r="J3070"/>
      <c r="K3070"/>
    </row>
    <row r="3071" spans="1:11" s="21" customFormat="1">
      <c r="A3071"/>
      <c r="B3071"/>
      <c r="F3071"/>
      <c r="G3071"/>
      <c r="H3071"/>
      <c r="I3071" s="97"/>
      <c r="J3071"/>
      <c r="K3071"/>
    </row>
    <row r="3072" spans="1:11" s="21" customFormat="1">
      <c r="A3072"/>
      <c r="B3072"/>
      <c r="F3072"/>
      <c r="G3072"/>
      <c r="H3072"/>
      <c r="I3072" s="97"/>
      <c r="J3072"/>
      <c r="K3072"/>
    </row>
    <row r="3073" spans="1:11" s="21" customFormat="1">
      <c r="A3073"/>
      <c r="B3073"/>
      <c r="F3073"/>
      <c r="G3073"/>
      <c r="H3073"/>
      <c r="I3073" s="97"/>
      <c r="J3073"/>
      <c r="K3073"/>
    </row>
    <row r="3074" spans="1:11" s="21" customFormat="1">
      <c r="A3074"/>
      <c r="B3074"/>
      <c r="F3074"/>
      <c r="G3074"/>
      <c r="H3074"/>
      <c r="I3074" s="97"/>
      <c r="J3074"/>
      <c r="K3074"/>
    </row>
    <row r="3075" spans="1:11" s="21" customFormat="1">
      <c r="A3075"/>
      <c r="B3075"/>
      <c r="F3075"/>
      <c r="G3075"/>
      <c r="H3075"/>
      <c r="I3075" s="97"/>
      <c r="J3075"/>
      <c r="K3075"/>
    </row>
    <row r="3076" spans="1:11" s="21" customFormat="1">
      <c r="A3076"/>
      <c r="B3076"/>
      <c r="F3076"/>
      <c r="G3076"/>
      <c r="H3076"/>
      <c r="I3076" s="97"/>
      <c r="J3076"/>
      <c r="K3076"/>
    </row>
    <row r="3077" spans="1:11" s="21" customFormat="1">
      <c r="A3077"/>
      <c r="B3077"/>
      <c r="F3077"/>
      <c r="G3077"/>
      <c r="H3077"/>
      <c r="I3077" s="97"/>
      <c r="J3077"/>
      <c r="K3077"/>
    </row>
    <row r="3078" spans="1:11" s="21" customFormat="1">
      <c r="A3078"/>
      <c r="B3078"/>
      <c r="F3078"/>
      <c r="G3078"/>
      <c r="H3078"/>
      <c r="I3078" s="97"/>
      <c r="J3078"/>
      <c r="K3078"/>
    </row>
    <row r="3079" spans="1:11" s="21" customFormat="1">
      <c r="A3079"/>
      <c r="B3079"/>
      <c r="F3079"/>
      <c r="G3079"/>
      <c r="H3079"/>
      <c r="I3079" s="97"/>
      <c r="J3079"/>
      <c r="K3079"/>
    </row>
    <row r="3080" spans="1:11" s="21" customFormat="1">
      <c r="A3080"/>
      <c r="B3080"/>
      <c r="F3080"/>
      <c r="G3080"/>
      <c r="H3080"/>
      <c r="I3080" s="97"/>
      <c r="J3080"/>
      <c r="K3080"/>
    </row>
    <row r="3081" spans="1:11" s="21" customFormat="1">
      <c r="A3081"/>
      <c r="B3081"/>
      <c r="F3081"/>
      <c r="G3081"/>
      <c r="H3081"/>
      <c r="I3081" s="97"/>
      <c r="J3081"/>
      <c r="K3081"/>
    </row>
    <row r="3082" spans="1:11" s="21" customFormat="1">
      <c r="A3082"/>
      <c r="B3082"/>
      <c r="F3082"/>
      <c r="G3082"/>
      <c r="H3082"/>
      <c r="I3082" s="97"/>
      <c r="J3082"/>
      <c r="K3082"/>
    </row>
    <row r="3083" spans="1:11" s="21" customFormat="1">
      <c r="A3083"/>
      <c r="B3083"/>
      <c r="F3083"/>
      <c r="G3083"/>
      <c r="H3083"/>
      <c r="I3083" s="97"/>
      <c r="J3083"/>
      <c r="K3083"/>
    </row>
    <row r="3084" spans="1:11" s="21" customFormat="1">
      <c r="A3084"/>
      <c r="B3084"/>
      <c r="F3084"/>
      <c r="G3084"/>
      <c r="H3084"/>
      <c r="I3084" s="97"/>
      <c r="J3084"/>
      <c r="K3084"/>
    </row>
    <row r="3085" spans="1:11" s="21" customFormat="1">
      <c r="A3085"/>
      <c r="B3085"/>
      <c r="F3085"/>
      <c r="G3085"/>
      <c r="H3085"/>
      <c r="I3085" s="97"/>
      <c r="J3085"/>
      <c r="K3085"/>
    </row>
    <row r="3086" spans="1:11" s="21" customFormat="1">
      <c r="A3086"/>
      <c r="B3086"/>
      <c r="F3086"/>
      <c r="G3086"/>
      <c r="H3086"/>
      <c r="I3086" s="97"/>
      <c r="J3086"/>
      <c r="K3086"/>
    </row>
    <row r="3087" spans="1:11" s="21" customFormat="1">
      <c r="A3087"/>
      <c r="B3087"/>
      <c r="F3087"/>
      <c r="G3087"/>
      <c r="H3087"/>
      <c r="I3087" s="97"/>
      <c r="J3087"/>
      <c r="K3087"/>
    </row>
    <row r="3088" spans="1:11" s="21" customFormat="1">
      <c r="A3088"/>
      <c r="B3088"/>
      <c r="F3088"/>
      <c r="G3088"/>
      <c r="H3088"/>
      <c r="I3088" s="97"/>
      <c r="J3088"/>
      <c r="K3088"/>
    </row>
    <row r="3089" spans="1:11" s="21" customFormat="1">
      <c r="A3089"/>
      <c r="B3089"/>
      <c r="F3089"/>
      <c r="G3089"/>
      <c r="H3089"/>
      <c r="I3089" s="97"/>
      <c r="J3089"/>
      <c r="K3089"/>
    </row>
    <row r="3090" spans="1:11" s="21" customFormat="1">
      <c r="A3090"/>
      <c r="B3090"/>
      <c r="F3090"/>
      <c r="G3090"/>
      <c r="H3090"/>
      <c r="I3090" s="97"/>
      <c r="J3090"/>
      <c r="K3090"/>
    </row>
    <row r="3091" spans="1:11" s="21" customFormat="1">
      <c r="A3091"/>
      <c r="B3091"/>
      <c r="F3091"/>
      <c r="G3091"/>
      <c r="H3091"/>
      <c r="I3091" s="97"/>
      <c r="J3091"/>
      <c r="K3091"/>
    </row>
    <row r="3092" spans="1:11" s="21" customFormat="1">
      <c r="A3092"/>
      <c r="B3092"/>
      <c r="F3092"/>
      <c r="G3092"/>
      <c r="H3092"/>
      <c r="I3092" s="97"/>
      <c r="J3092"/>
      <c r="K3092"/>
    </row>
    <row r="3093" spans="1:11" s="21" customFormat="1">
      <c r="A3093"/>
      <c r="B3093"/>
      <c r="F3093"/>
      <c r="G3093"/>
      <c r="H3093"/>
      <c r="I3093" s="97"/>
      <c r="J3093"/>
      <c r="K3093"/>
    </row>
    <row r="3094" spans="1:11" s="21" customFormat="1">
      <c r="A3094"/>
      <c r="B3094"/>
      <c r="F3094"/>
      <c r="G3094"/>
      <c r="H3094"/>
      <c r="I3094" s="97"/>
      <c r="J3094"/>
      <c r="K3094"/>
    </row>
    <row r="3095" spans="1:11" s="21" customFormat="1">
      <c r="A3095"/>
      <c r="B3095"/>
      <c r="F3095"/>
      <c r="G3095"/>
      <c r="H3095"/>
      <c r="I3095" s="97"/>
      <c r="J3095"/>
      <c r="K3095"/>
    </row>
    <row r="3096" spans="1:11" s="21" customFormat="1">
      <c r="A3096"/>
      <c r="B3096"/>
      <c r="F3096"/>
      <c r="G3096"/>
      <c r="H3096"/>
      <c r="I3096" s="97"/>
      <c r="J3096"/>
      <c r="K3096"/>
    </row>
    <row r="3097" spans="1:11" s="21" customFormat="1">
      <c r="A3097"/>
      <c r="B3097"/>
      <c r="F3097"/>
      <c r="G3097"/>
      <c r="H3097"/>
      <c r="I3097" s="97"/>
      <c r="J3097"/>
      <c r="K3097"/>
    </row>
    <row r="3098" spans="1:11" s="21" customFormat="1">
      <c r="A3098"/>
      <c r="B3098"/>
      <c r="F3098"/>
      <c r="G3098"/>
      <c r="H3098"/>
      <c r="I3098" s="97"/>
      <c r="J3098"/>
      <c r="K3098"/>
    </row>
    <row r="3099" spans="1:11" s="21" customFormat="1">
      <c r="A3099"/>
      <c r="B3099"/>
      <c r="F3099"/>
      <c r="G3099"/>
      <c r="H3099"/>
      <c r="I3099" s="97"/>
      <c r="J3099"/>
      <c r="K3099"/>
    </row>
    <row r="3100" spans="1:11" s="21" customFormat="1">
      <c r="A3100"/>
      <c r="B3100"/>
      <c r="F3100"/>
      <c r="G3100"/>
      <c r="H3100"/>
      <c r="I3100" s="97"/>
      <c r="J3100"/>
      <c r="K3100"/>
    </row>
    <row r="3101" spans="1:11" s="21" customFormat="1">
      <c r="A3101"/>
      <c r="B3101"/>
      <c r="F3101"/>
      <c r="G3101"/>
      <c r="H3101"/>
      <c r="I3101" s="97"/>
      <c r="J3101"/>
      <c r="K3101"/>
    </row>
    <row r="3102" spans="1:11" s="21" customFormat="1">
      <c r="A3102"/>
      <c r="B3102"/>
      <c r="F3102"/>
      <c r="G3102"/>
      <c r="H3102"/>
      <c r="I3102" s="97"/>
      <c r="J3102"/>
      <c r="K3102"/>
    </row>
    <row r="3103" spans="1:11" s="21" customFormat="1">
      <c r="A3103"/>
      <c r="B3103"/>
      <c r="F3103"/>
      <c r="G3103"/>
      <c r="H3103"/>
      <c r="I3103" s="97"/>
      <c r="J3103"/>
      <c r="K3103"/>
    </row>
    <row r="3104" spans="1:11" s="21" customFormat="1">
      <c r="A3104"/>
      <c r="B3104"/>
      <c r="F3104"/>
      <c r="G3104"/>
      <c r="H3104"/>
      <c r="I3104" s="97"/>
      <c r="J3104"/>
      <c r="K3104"/>
    </row>
    <row r="3105" spans="1:11" s="21" customFormat="1">
      <c r="A3105"/>
      <c r="B3105"/>
      <c r="F3105"/>
      <c r="G3105"/>
      <c r="H3105"/>
      <c r="I3105" s="97"/>
      <c r="J3105"/>
      <c r="K3105"/>
    </row>
    <row r="3106" spans="1:11" s="21" customFormat="1">
      <c r="A3106"/>
      <c r="B3106"/>
      <c r="F3106"/>
      <c r="G3106"/>
      <c r="H3106"/>
      <c r="I3106" s="97"/>
      <c r="J3106"/>
      <c r="K3106"/>
    </row>
    <row r="3107" spans="1:11" s="21" customFormat="1">
      <c r="A3107"/>
      <c r="B3107"/>
      <c r="F3107"/>
      <c r="G3107"/>
      <c r="H3107"/>
      <c r="I3107" s="97"/>
      <c r="J3107"/>
      <c r="K3107"/>
    </row>
    <row r="3108" spans="1:11" s="21" customFormat="1">
      <c r="A3108"/>
      <c r="B3108"/>
      <c r="F3108"/>
      <c r="G3108"/>
      <c r="H3108"/>
      <c r="I3108" s="97"/>
      <c r="J3108"/>
      <c r="K3108"/>
    </row>
    <row r="3109" spans="1:11" s="21" customFormat="1">
      <c r="A3109"/>
      <c r="B3109"/>
      <c r="F3109"/>
      <c r="G3109"/>
      <c r="H3109"/>
      <c r="I3109" s="97"/>
      <c r="J3109"/>
      <c r="K3109"/>
    </row>
    <row r="3110" spans="1:11" s="21" customFormat="1">
      <c r="A3110"/>
      <c r="B3110"/>
      <c r="F3110"/>
      <c r="G3110"/>
      <c r="H3110"/>
      <c r="I3110" s="97"/>
      <c r="J3110"/>
      <c r="K3110"/>
    </row>
    <row r="3111" spans="1:11" s="21" customFormat="1">
      <c r="A3111"/>
      <c r="B3111"/>
      <c r="F3111"/>
      <c r="G3111"/>
      <c r="H3111"/>
      <c r="I3111" s="97"/>
      <c r="J3111"/>
      <c r="K3111"/>
    </row>
    <row r="3112" spans="1:11" s="21" customFormat="1">
      <c r="A3112"/>
      <c r="B3112"/>
      <c r="F3112"/>
      <c r="G3112"/>
      <c r="H3112"/>
      <c r="I3112" s="97"/>
      <c r="J3112"/>
      <c r="K3112"/>
    </row>
    <row r="3113" spans="1:11" s="21" customFormat="1">
      <c r="A3113"/>
      <c r="B3113"/>
      <c r="F3113"/>
      <c r="G3113"/>
      <c r="H3113"/>
      <c r="I3113" s="97"/>
      <c r="J3113"/>
      <c r="K3113"/>
    </row>
    <row r="3114" spans="1:11" s="21" customFormat="1">
      <c r="A3114"/>
      <c r="B3114"/>
      <c r="F3114"/>
      <c r="G3114"/>
      <c r="H3114"/>
      <c r="I3114" s="97"/>
      <c r="J3114"/>
      <c r="K3114"/>
    </row>
    <row r="3115" spans="1:11" s="21" customFormat="1">
      <c r="A3115"/>
      <c r="B3115"/>
      <c r="F3115"/>
      <c r="G3115"/>
      <c r="H3115"/>
      <c r="I3115" s="97"/>
      <c r="J3115"/>
      <c r="K3115"/>
    </row>
    <row r="3116" spans="1:11" s="21" customFormat="1">
      <c r="A3116"/>
      <c r="B3116"/>
      <c r="F3116"/>
      <c r="G3116"/>
      <c r="H3116"/>
      <c r="I3116" s="97"/>
      <c r="J3116"/>
      <c r="K3116"/>
    </row>
    <row r="3117" spans="1:11" s="21" customFormat="1">
      <c r="A3117"/>
      <c r="B3117"/>
      <c r="F3117"/>
      <c r="G3117"/>
      <c r="H3117"/>
      <c r="I3117" s="97"/>
      <c r="J3117"/>
      <c r="K3117"/>
    </row>
    <row r="3118" spans="1:11" s="21" customFormat="1">
      <c r="A3118"/>
      <c r="B3118"/>
      <c r="F3118"/>
      <c r="G3118"/>
      <c r="H3118"/>
      <c r="I3118" s="97"/>
      <c r="J3118"/>
      <c r="K3118"/>
    </row>
    <row r="3119" spans="1:11" s="21" customFormat="1">
      <c r="A3119"/>
      <c r="B3119"/>
      <c r="F3119"/>
      <c r="G3119"/>
      <c r="H3119"/>
      <c r="I3119" s="97"/>
      <c r="J3119"/>
      <c r="K3119"/>
    </row>
    <row r="3120" spans="1:11" s="21" customFormat="1">
      <c r="A3120"/>
      <c r="B3120"/>
      <c r="F3120"/>
      <c r="G3120"/>
      <c r="H3120"/>
      <c r="I3120" s="97"/>
      <c r="J3120"/>
      <c r="K3120"/>
    </row>
    <row r="3121" spans="1:11" s="21" customFormat="1">
      <c r="A3121"/>
      <c r="B3121"/>
      <c r="F3121"/>
      <c r="G3121"/>
      <c r="H3121"/>
      <c r="I3121" s="97"/>
      <c r="J3121"/>
      <c r="K3121"/>
    </row>
    <row r="3122" spans="1:11" s="21" customFormat="1">
      <c r="A3122"/>
      <c r="B3122"/>
      <c r="F3122"/>
      <c r="G3122"/>
      <c r="H3122"/>
      <c r="I3122" s="97"/>
      <c r="J3122"/>
      <c r="K3122"/>
    </row>
    <row r="3123" spans="1:11" s="21" customFormat="1">
      <c r="A3123"/>
      <c r="B3123"/>
      <c r="F3123"/>
      <c r="G3123"/>
      <c r="H3123"/>
      <c r="I3123" s="97"/>
      <c r="J3123"/>
      <c r="K3123"/>
    </row>
    <row r="3124" spans="1:11" s="21" customFormat="1">
      <c r="A3124"/>
      <c r="B3124"/>
      <c r="F3124"/>
      <c r="G3124"/>
      <c r="H3124"/>
      <c r="I3124" s="97"/>
      <c r="J3124"/>
      <c r="K3124"/>
    </row>
    <row r="3125" spans="1:11" s="21" customFormat="1">
      <c r="A3125"/>
      <c r="B3125"/>
      <c r="F3125"/>
      <c r="G3125"/>
      <c r="H3125"/>
      <c r="I3125" s="97"/>
      <c r="J3125"/>
      <c r="K3125"/>
    </row>
    <row r="3126" spans="1:11" s="21" customFormat="1">
      <c r="A3126"/>
      <c r="B3126"/>
      <c r="F3126"/>
      <c r="G3126"/>
      <c r="H3126"/>
      <c r="I3126" s="97"/>
      <c r="J3126"/>
      <c r="K3126"/>
    </row>
    <row r="3127" spans="1:11" s="21" customFormat="1">
      <c r="A3127"/>
      <c r="B3127"/>
      <c r="F3127"/>
      <c r="G3127"/>
      <c r="H3127"/>
      <c r="I3127" s="97"/>
      <c r="J3127"/>
      <c r="K3127"/>
    </row>
    <row r="3128" spans="1:11" s="21" customFormat="1">
      <c r="A3128"/>
      <c r="B3128"/>
      <c r="F3128"/>
      <c r="G3128"/>
      <c r="H3128"/>
      <c r="I3128" s="97"/>
      <c r="J3128"/>
      <c r="K3128"/>
    </row>
    <row r="3129" spans="1:11" s="21" customFormat="1">
      <c r="A3129"/>
      <c r="B3129"/>
      <c r="F3129"/>
      <c r="G3129"/>
      <c r="H3129"/>
      <c r="I3129" s="97"/>
      <c r="J3129"/>
      <c r="K3129"/>
    </row>
    <row r="3130" spans="1:11" s="21" customFormat="1">
      <c r="A3130"/>
      <c r="B3130"/>
      <c r="F3130"/>
      <c r="G3130"/>
      <c r="H3130"/>
      <c r="I3130" s="97"/>
      <c r="J3130"/>
      <c r="K3130"/>
    </row>
    <row r="3131" spans="1:11" s="21" customFormat="1">
      <c r="A3131"/>
      <c r="B3131"/>
      <c r="F3131"/>
      <c r="G3131"/>
      <c r="H3131"/>
      <c r="I3131" s="97"/>
      <c r="J3131"/>
      <c r="K3131"/>
    </row>
    <row r="3132" spans="1:11" s="21" customFormat="1">
      <c r="A3132"/>
      <c r="B3132"/>
      <c r="F3132"/>
      <c r="G3132"/>
      <c r="H3132"/>
      <c r="I3132" s="97"/>
      <c r="J3132"/>
      <c r="K3132"/>
    </row>
    <row r="3133" spans="1:11" s="21" customFormat="1">
      <c r="A3133"/>
      <c r="B3133"/>
      <c r="F3133"/>
      <c r="G3133"/>
      <c r="H3133"/>
      <c r="I3133" s="97"/>
      <c r="J3133"/>
      <c r="K3133"/>
    </row>
    <row r="3134" spans="1:11" s="21" customFormat="1">
      <c r="A3134"/>
      <c r="B3134"/>
      <c r="F3134"/>
      <c r="G3134"/>
      <c r="H3134"/>
      <c r="I3134" s="97"/>
      <c r="J3134"/>
      <c r="K3134"/>
    </row>
    <row r="3135" spans="1:11" s="21" customFormat="1">
      <c r="A3135"/>
      <c r="B3135"/>
      <c r="F3135"/>
      <c r="G3135"/>
      <c r="H3135"/>
      <c r="I3135" s="97"/>
      <c r="J3135"/>
      <c r="K3135"/>
    </row>
    <row r="3136" spans="1:11" s="21" customFormat="1">
      <c r="A3136"/>
      <c r="B3136"/>
      <c r="F3136"/>
      <c r="G3136"/>
      <c r="H3136"/>
      <c r="I3136" s="97"/>
      <c r="J3136"/>
      <c r="K3136"/>
    </row>
    <row r="3137" spans="1:11" s="21" customFormat="1">
      <c r="A3137"/>
      <c r="B3137"/>
      <c r="F3137"/>
      <c r="G3137"/>
      <c r="H3137"/>
      <c r="I3137" s="97"/>
      <c r="J3137"/>
      <c r="K3137"/>
    </row>
    <row r="3138" spans="1:11" s="21" customFormat="1">
      <c r="A3138"/>
      <c r="B3138"/>
      <c r="F3138"/>
      <c r="G3138"/>
      <c r="H3138"/>
      <c r="I3138" s="97"/>
      <c r="J3138"/>
      <c r="K3138"/>
    </row>
    <row r="3139" spans="1:11" s="21" customFormat="1">
      <c r="A3139"/>
      <c r="B3139"/>
      <c r="F3139"/>
      <c r="G3139"/>
      <c r="H3139"/>
      <c r="I3139" s="97"/>
      <c r="J3139"/>
      <c r="K3139"/>
    </row>
    <row r="3140" spans="1:11" s="21" customFormat="1">
      <c r="A3140"/>
      <c r="B3140"/>
      <c r="F3140"/>
      <c r="G3140"/>
      <c r="H3140"/>
      <c r="I3140" s="97"/>
      <c r="J3140"/>
      <c r="K3140"/>
    </row>
    <row r="3141" spans="1:11" s="21" customFormat="1">
      <c r="A3141"/>
      <c r="B3141"/>
      <c r="F3141"/>
      <c r="G3141"/>
      <c r="H3141"/>
      <c r="I3141" s="97"/>
      <c r="J3141"/>
      <c r="K3141"/>
    </row>
    <row r="3142" spans="1:11" s="21" customFormat="1">
      <c r="A3142"/>
      <c r="B3142"/>
      <c r="F3142"/>
      <c r="G3142"/>
      <c r="H3142"/>
      <c r="I3142" s="97"/>
      <c r="J3142"/>
      <c r="K3142"/>
    </row>
    <row r="3143" spans="1:11" s="21" customFormat="1">
      <c r="A3143"/>
      <c r="B3143"/>
      <c r="F3143"/>
      <c r="G3143"/>
      <c r="H3143"/>
      <c r="I3143" s="97"/>
      <c r="J3143"/>
      <c r="K3143"/>
    </row>
    <row r="3144" spans="1:11" s="21" customFormat="1">
      <c r="A3144"/>
      <c r="B3144"/>
      <c r="F3144"/>
      <c r="G3144"/>
      <c r="H3144"/>
      <c r="I3144" s="97"/>
      <c r="J3144"/>
      <c r="K3144"/>
    </row>
    <row r="3145" spans="1:11" s="21" customFormat="1">
      <c r="A3145"/>
      <c r="B3145"/>
      <c r="F3145"/>
      <c r="G3145"/>
      <c r="H3145"/>
      <c r="I3145" s="97"/>
      <c r="J3145"/>
      <c r="K3145"/>
    </row>
    <row r="3146" spans="1:11" s="21" customFormat="1">
      <c r="A3146"/>
      <c r="B3146"/>
      <c r="F3146"/>
      <c r="G3146"/>
      <c r="H3146"/>
      <c r="I3146" s="97"/>
      <c r="J3146"/>
      <c r="K3146"/>
    </row>
    <row r="3147" spans="1:11" s="21" customFormat="1">
      <c r="A3147"/>
      <c r="B3147"/>
      <c r="F3147"/>
      <c r="G3147"/>
      <c r="H3147"/>
      <c r="I3147" s="97"/>
      <c r="J3147"/>
      <c r="K3147"/>
    </row>
    <row r="3148" spans="1:11" s="21" customFormat="1">
      <c r="A3148"/>
      <c r="B3148"/>
      <c r="F3148"/>
      <c r="G3148"/>
      <c r="H3148"/>
      <c r="I3148" s="97"/>
      <c r="J3148"/>
      <c r="K3148"/>
    </row>
    <row r="3149" spans="1:11" s="21" customFormat="1">
      <c r="A3149"/>
      <c r="B3149"/>
      <c r="F3149"/>
      <c r="G3149"/>
      <c r="H3149"/>
      <c r="I3149" s="97"/>
      <c r="J3149"/>
      <c r="K3149"/>
    </row>
    <row r="3150" spans="1:11" s="21" customFormat="1">
      <c r="A3150"/>
      <c r="B3150"/>
      <c r="F3150"/>
      <c r="G3150"/>
      <c r="H3150"/>
      <c r="I3150" s="97"/>
      <c r="J3150"/>
      <c r="K3150"/>
    </row>
    <row r="3151" spans="1:11" s="21" customFormat="1">
      <c r="A3151"/>
      <c r="B3151"/>
      <c r="F3151"/>
      <c r="G3151"/>
      <c r="H3151"/>
      <c r="I3151" s="97"/>
      <c r="J3151"/>
      <c r="K3151"/>
    </row>
    <row r="3152" spans="1:11" s="21" customFormat="1">
      <c r="A3152"/>
      <c r="B3152"/>
      <c r="F3152"/>
      <c r="G3152"/>
      <c r="H3152"/>
      <c r="I3152" s="97"/>
      <c r="J3152"/>
      <c r="K3152"/>
    </row>
    <row r="3153" spans="1:11" s="21" customFormat="1">
      <c r="A3153"/>
      <c r="B3153"/>
      <c r="F3153"/>
      <c r="G3153"/>
      <c r="H3153"/>
      <c r="I3153" s="97"/>
      <c r="J3153"/>
      <c r="K3153"/>
    </row>
    <row r="3154" spans="1:11" s="21" customFormat="1">
      <c r="A3154"/>
      <c r="B3154"/>
      <c r="F3154"/>
      <c r="G3154"/>
      <c r="H3154"/>
      <c r="I3154" s="97"/>
      <c r="J3154"/>
      <c r="K3154"/>
    </row>
    <row r="3155" spans="1:11" s="21" customFormat="1">
      <c r="A3155"/>
      <c r="B3155"/>
      <c r="F3155"/>
      <c r="G3155"/>
      <c r="H3155"/>
      <c r="I3155" s="97"/>
      <c r="J3155"/>
      <c r="K3155"/>
    </row>
    <row r="3156" spans="1:11" s="21" customFormat="1">
      <c r="A3156"/>
      <c r="B3156"/>
      <c r="F3156"/>
      <c r="G3156"/>
      <c r="H3156"/>
      <c r="I3156" s="97"/>
      <c r="J3156"/>
      <c r="K3156"/>
    </row>
    <row r="3157" spans="1:11" s="21" customFormat="1">
      <c r="A3157"/>
      <c r="B3157"/>
      <c r="F3157"/>
      <c r="G3157"/>
      <c r="H3157"/>
      <c r="I3157" s="97"/>
      <c r="J3157"/>
      <c r="K3157"/>
    </row>
    <row r="3158" spans="1:11" s="21" customFormat="1">
      <c r="A3158"/>
      <c r="B3158"/>
      <c r="F3158"/>
      <c r="G3158"/>
      <c r="H3158"/>
      <c r="I3158" s="97"/>
      <c r="J3158"/>
      <c r="K3158"/>
    </row>
    <row r="3159" spans="1:11" s="21" customFormat="1">
      <c r="A3159"/>
      <c r="B3159"/>
      <c r="F3159"/>
      <c r="G3159"/>
      <c r="H3159"/>
      <c r="I3159" s="97"/>
      <c r="J3159"/>
      <c r="K3159"/>
    </row>
    <row r="3160" spans="1:11" s="21" customFormat="1">
      <c r="A3160"/>
      <c r="B3160"/>
      <c r="F3160"/>
      <c r="G3160"/>
      <c r="H3160"/>
      <c r="I3160" s="97"/>
      <c r="J3160"/>
      <c r="K3160"/>
    </row>
    <row r="3161" spans="1:11" s="21" customFormat="1">
      <c r="A3161"/>
      <c r="B3161"/>
      <c r="F3161"/>
      <c r="G3161"/>
      <c r="H3161"/>
      <c r="I3161" s="97"/>
      <c r="J3161"/>
      <c r="K3161"/>
    </row>
    <row r="3162" spans="1:11" s="21" customFormat="1">
      <c r="A3162"/>
      <c r="B3162"/>
      <c r="F3162"/>
      <c r="G3162"/>
      <c r="H3162"/>
      <c r="I3162" s="97"/>
      <c r="J3162"/>
      <c r="K3162"/>
    </row>
    <row r="3163" spans="1:11" s="21" customFormat="1">
      <c r="A3163"/>
      <c r="B3163"/>
      <c r="F3163"/>
      <c r="G3163"/>
      <c r="H3163"/>
      <c r="I3163" s="97"/>
      <c r="J3163"/>
      <c r="K3163"/>
    </row>
    <row r="3164" spans="1:11" s="21" customFormat="1">
      <c r="A3164"/>
      <c r="B3164"/>
      <c r="F3164"/>
      <c r="G3164"/>
      <c r="H3164"/>
      <c r="I3164" s="97"/>
      <c r="J3164"/>
      <c r="K3164"/>
    </row>
    <row r="3165" spans="1:11" s="21" customFormat="1">
      <c r="A3165"/>
      <c r="B3165"/>
      <c r="F3165"/>
      <c r="G3165"/>
      <c r="H3165"/>
      <c r="I3165" s="97"/>
      <c r="J3165"/>
      <c r="K3165"/>
    </row>
    <row r="3166" spans="1:11" s="21" customFormat="1">
      <c r="A3166"/>
      <c r="B3166"/>
      <c r="F3166"/>
      <c r="G3166"/>
      <c r="H3166"/>
      <c r="I3166" s="97"/>
      <c r="J3166"/>
      <c r="K3166"/>
    </row>
    <row r="3167" spans="1:11" s="21" customFormat="1">
      <c r="A3167"/>
      <c r="B3167"/>
      <c r="F3167"/>
      <c r="G3167"/>
      <c r="H3167"/>
      <c r="I3167" s="97"/>
      <c r="J3167"/>
      <c r="K3167"/>
    </row>
    <row r="3168" spans="1:11" s="21" customFormat="1">
      <c r="A3168"/>
      <c r="B3168"/>
      <c r="F3168"/>
      <c r="G3168"/>
      <c r="H3168"/>
      <c r="I3168" s="97"/>
      <c r="J3168"/>
      <c r="K3168"/>
    </row>
    <row r="3169" spans="1:11" s="21" customFormat="1">
      <c r="A3169"/>
      <c r="B3169"/>
      <c r="F3169"/>
      <c r="G3169"/>
      <c r="H3169"/>
      <c r="I3169" s="97"/>
      <c r="J3169"/>
      <c r="K3169"/>
    </row>
    <row r="3170" spans="1:11" s="21" customFormat="1">
      <c r="A3170"/>
      <c r="B3170"/>
      <c r="F3170"/>
      <c r="G3170"/>
      <c r="H3170"/>
      <c r="I3170" s="97"/>
      <c r="J3170"/>
      <c r="K3170"/>
    </row>
    <row r="3171" spans="1:11" s="21" customFormat="1">
      <c r="A3171"/>
      <c r="B3171"/>
      <c r="F3171"/>
      <c r="G3171"/>
      <c r="H3171"/>
      <c r="I3171" s="97"/>
      <c r="J3171"/>
      <c r="K3171"/>
    </row>
    <row r="3172" spans="1:11" s="21" customFormat="1">
      <c r="A3172"/>
      <c r="B3172"/>
      <c r="F3172"/>
      <c r="G3172"/>
      <c r="H3172"/>
      <c r="I3172" s="97"/>
      <c r="J3172"/>
      <c r="K3172"/>
    </row>
    <row r="3173" spans="1:11" s="21" customFormat="1">
      <c r="A3173"/>
      <c r="B3173"/>
      <c r="F3173"/>
      <c r="G3173"/>
      <c r="H3173"/>
      <c r="I3173" s="97"/>
      <c r="J3173"/>
      <c r="K3173"/>
    </row>
    <row r="3174" spans="1:11" s="21" customFormat="1">
      <c r="A3174"/>
      <c r="B3174"/>
      <c r="F3174"/>
      <c r="G3174"/>
      <c r="H3174"/>
      <c r="I3174" s="97"/>
      <c r="J3174"/>
      <c r="K3174"/>
    </row>
    <row r="3175" spans="1:11" s="21" customFormat="1">
      <c r="A3175"/>
      <c r="B3175"/>
      <c r="F3175"/>
      <c r="G3175"/>
      <c r="H3175"/>
      <c r="I3175" s="97"/>
      <c r="J3175"/>
      <c r="K3175"/>
    </row>
    <row r="3176" spans="1:11" s="21" customFormat="1">
      <c r="A3176"/>
      <c r="B3176"/>
      <c r="F3176"/>
      <c r="G3176"/>
      <c r="H3176"/>
      <c r="I3176" s="97"/>
      <c r="J3176"/>
      <c r="K3176"/>
    </row>
    <row r="3177" spans="1:11" s="21" customFormat="1">
      <c r="A3177"/>
      <c r="B3177"/>
      <c r="F3177"/>
      <c r="G3177"/>
      <c r="H3177"/>
      <c r="I3177" s="97"/>
      <c r="J3177"/>
      <c r="K3177"/>
    </row>
    <row r="3178" spans="1:11" s="21" customFormat="1">
      <c r="A3178"/>
      <c r="B3178"/>
      <c r="F3178"/>
      <c r="G3178"/>
      <c r="H3178"/>
      <c r="I3178" s="97"/>
      <c r="J3178"/>
      <c r="K3178"/>
    </row>
    <row r="3179" spans="1:11" s="21" customFormat="1">
      <c r="A3179"/>
      <c r="B3179"/>
      <c r="F3179"/>
      <c r="G3179"/>
      <c r="H3179"/>
      <c r="I3179" s="97"/>
      <c r="J3179"/>
      <c r="K3179"/>
    </row>
    <row r="3180" spans="1:11" s="21" customFormat="1">
      <c r="A3180"/>
      <c r="B3180"/>
      <c r="F3180"/>
      <c r="G3180"/>
      <c r="H3180"/>
      <c r="I3180" s="97"/>
      <c r="J3180"/>
      <c r="K3180"/>
    </row>
    <row r="3181" spans="1:11" s="21" customFormat="1">
      <c r="A3181"/>
      <c r="B3181"/>
      <c r="F3181"/>
      <c r="G3181"/>
      <c r="H3181"/>
      <c r="I3181" s="97"/>
      <c r="J3181"/>
      <c r="K3181"/>
    </row>
    <row r="3182" spans="1:11" s="21" customFormat="1">
      <c r="A3182"/>
      <c r="B3182"/>
      <c r="F3182"/>
      <c r="G3182"/>
      <c r="H3182"/>
      <c r="I3182" s="97"/>
      <c r="J3182"/>
      <c r="K3182"/>
    </row>
    <row r="3183" spans="1:11" s="21" customFormat="1">
      <c r="A3183"/>
      <c r="B3183"/>
      <c r="F3183"/>
      <c r="G3183"/>
      <c r="H3183"/>
      <c r="I3183" s="97"/>
      <c r="J3183"/>
      <c r="K3183"/>
    </row>
    <row r="3184" spans="1:11" s="21" customFormat="1">
      <c r="A3184"/>
      <c r="B3184"/>
      <c r="F3184"/>
      <c r="G3184"/>
      <c r="H3184"/>
      <c r="I3184" s="97"/>
      <c r="J3184"/>
      <c r="K3184"/>
    </row>
    <row r="3185" spans="1:11" s="21" customFormat="1">
      <c r="A3185"/>
      <c r="B3185"/>
      <c r="F3185"/>
      <c r="G3185"/>
      <c r="H3185"/>
      <c r="I3185" s="97"/>
      <c r="J3185"/>
      <c r="K3185"/>
    </row>
    <row r="3186" spans="1:11" s="21" customFormat="1">
      <c r="A3186"/>
      <c r="B3186"/>
      <c r="F3186"/>
      <c r="G3186"/>
      <c r="H3186"/>
      <c r="I3186" s="97"/>
      <c r="J3186"/>
      <c r="K3186"/>
    </row>
    <row r="3187" spans="1:11" s="21" customFormat="1">
      <c r="A3187"/>
      <c r="B3187"/>
      <c r="F3187"/>
      <c r="G3187"/>
      <c r="H3187"/>
      <c r="I3187" s="97"/>
      <c r="J3187"/>
      <c r="K3187"/>
    </row>
    <row r="3188" spans="1:11" s="21" customFormat="1">
      <c r="A3188"/>
      <c r="B3188"/>
      <c r="F3188"/>
      <c r="G3188"/>
      <c r="H3188"/>
      <c r="I3188" s="97"/>
      <c r="J3188"/>
      <c r="K3188"/>
    </row>
    <row r="3189" spans="1:11" s="21" customFormat="1">
      <c r="A3189"/>
      <c r="B3189"/>
      <c r="F3189"/>
      <c r="G3189"/>
      <c r="H3189"/>
      <c r="I3189" s="97"/>
      <c r="J3189"/>
      <c r="K3189"/>
    </row>
    <row r="3190" spans="1:11" s="21" customFormat="1">
      <c r="A3190"/>
      <c r="B3190"/>
      <c r="F3190"/>
      <c r="G3190"/>
      <c r="H3190"/>
      <c r="I3190" s="97"/>
      <c r="J3190"/>
      <c r="K3190"/>
    </row>
    <row r="3191" spans="1:11" s="21" customFormat="1">
      <c r="A3191"/>
      <c r="B3191"/>
      <c r="F3191"/>
      <c r="G3191"/>
      <c r="H3191"/>
      <c r="I3191" s="97"/>
      <c r="J3191"/>
      <c r="K3191"/>
    </row>
    <row r="3192" spans="1:11" s="21" customFormat="1">
      <c r="A3192"/>
      <c r="B3192"/>
      <c r="F3192"/>
      <c r="G3192"/>
      <c r="H3192"/>
      <c r="I3192" s="97"/>
      <c r="J3192"/>
      <c r="K3192"/>
    </row>
    <row r="3193" spans="1:11" s="21" customFormat="1">
      <c r="A3193"/>
      <c r="B3193"/>
      <c r="F3193"/>
      <c r="G3193"/>
      <c r="H3193"/>
      <c r="I3193" s="97"/>
      <c r="J3193"/>
      <c r="K3193"/>
    </row>
    <row r="3194" spans="1:11" s="21" customFormat="1">
      <c r="A3194"/>
      <c r="B3194"/>
      <c r="F3194"/>
      <c r="G3194"/>
      <c r="H3194"/>
      <c r="I3194" s="97"/>
      <c r="J3194"/>
      <c r="K3194"/>
    </row>
    <row r="3195" spans="1:11" s="21" customFormat="1">
      <c r="A3195"/>
      <c r="B3195"/>
      <c r="F3195"/>
      <c r="G3195"/>
      <c r="H3195"/>
      <c r="I3195" s="97"/>
      <c r="J3195"/>
      <c r="K3195"/>
    </row>
    <row r="3196" spans="1:11" s="21" customFormat="1">
      <c r="A3196"/>
      <c r="B3196"/>
      <c r="F3196"/>
      <c r="G3196"/>
      <c r="H3196"/>
      <c r="I3196" s="97"/>
      <c r="J3196"/>
      <c r="K3196"/>
    </row>
    <row r="3197" spans="1:11" s="21" customFormat="1">
      <c r="A3197"/>
      <c r="B3197"/>
      <c r="F3197"/>
      <c r="G3197"/>
      <c r="H3197"/>
      <c r="I3197" s="97"/>
      <c r="J3197"/>
      <c r="K3197"/>
    </row>
    <row r="3198" spans="1:11" s="21" customFormat="1">
      <c r="A3198"/>
      <c r="B3198"/>
      <c r="F3198"/>
      <c r="G3198"/>
      <c r="H3198"/>
      <c r="I3198" s="97"/>
      <c r="J3198"/>
      <c r="K3198"/>
    </row>
    <row r="3199" spans="1:11" s="21" customFormat="1">
      <c r="A3199"/>
      <c r="B3199"/>
      <c r="F3199"/>
      <c r="G3199"/>
      <c r="H3199"/>
      <c r="I3199" s="97"/>
      <c r="J3199"/>
      <c r="K3199"/>
    </row>
    <row r="3200" spans="1:11" s="21" customFormat="1">
      <c r="A3200"/>
      <c r="B3200"/>
      <c r="F3200"/>
      <c r="G3200"/>
      <c r="H3200"/>
      <c r="I3200" s="97"/>
      <c r="J3200"/>
      <c r="K3200"/>
    </row>
    <row r="3201" spans="1:11" s="21" customFormat="1">
      <c r="A3201"/>
      <c r="B3201"/>
      <c r="F3201"/>
      <c r="G3201"/>
      <c r="H3201"/>
      <c r="I3201" s="97"/>
      <c r="J3201"/>
      <c r="K3201"/>
    </row>
    <row r="3202" spans="1:11" s="21" customFormat="1">
      <c r="A3202"/>
      <c r="B3202"/>
      <c r="F3202"/>
      <c r="G3202"/>
      <c r="H3202"/>
      <c r="I3202" s="97"/>
      <c r="J3202"/>
      <c r="K3202"/>
    </row>
    <row r="3203" spans="1:11" s="21" customFormat="1">
      <c r="A3203"/>
      <c r="B3203"/>
      <c r="F3203"/>
      <c r="G3203"/>
      <c r="H3203"/>
      <c r="I3203" s="97"/>
      <c r="J3203"/>
      <c r="K3203"/>
    </row>
    <row r="3204" spans="1:11" s="21" customFormat="1">
      <c r="A3204"/>
      <c r="B3204"/>
      <c r="F3204"/>
      <c r="G3204"/>
      <c r="H3204"/>
      <c r="I3204" s="97"/>
      <c r="J3204"/>
      <c r="K3204"/>
    </row>
    <row r="3205" spans="1:11" s="21" customFormat="1">
      <c r="A3205"/>
      <c r="B3205"/>
      <c r="F3205"/>
      <c r="G3205"/>
      <c r="H3205"/>
      <c r="I3205" s="97"/>
      <c r="J3205"/>
      <c r="K3205"/>
    </row>
    <row r="3206" spans="1:11" s="21" customFormat="1">
      <c r="A3206"/>
      <c r="B3206"/>
      <c r="F3206"/>
      <c r="G3206"/>
      <c r="H3206"/>
      <c r="I3206" s="97"/>
      <c r="J3206"/>
      <c r="K3206"/>
    </row>
    <row r="3207" spans="1:11" s="21" customFormat="1">
      <c r="A3207"/>
      <c r="B3207"/>
      <c r="F3207"/>
      <c r="G3207"/>
      <c r="H3207"/>
      <c r="I3207" s="97"/>
      <c r="J3207"/>
      <c r="K3207"/>
    </row>
    <row r="3208" spans="1:11" s="21" customFormat="1">
      <c r="A3208"/>
      <c r="B3208"/>
      <c r="F3208"/>
      <c r="G3208"/>
      <c r="H3208"/>
      <c r="I3208" s="97"/>
      <c r="J3208"/>
      <c r="K3208"/>
    </row>
    <row r="3209" spans="1:11" s="21" customFormat="1">
      <c r="A3209"/>
      <c r="B3209"/>
      <c r="F3209"/>
      <c r="G3209"/>
      <c r="H3209"/>
      <c r="I3209" s="97"/>
      <c r="J3209"/>
      <c r="K3209"/>
    </row>
    <row r="3210" spans="1:11" s="21" customFormat="1">
      <c r="A3210"/>
      <c r="B3210"/>
      <c r="F3210"/>
      <c r="G3210"/>
      <c r="H3210"/>
      <c r="I3210" s="97"/>
      <c r="J3210"/>
      <c r="K3210"/>
    </row>
    <row r="3211" spans="1:11" s="21" customFormat="1">
      <c r="A3211"/>
      <c r="B3211"/>
      <c r="F3211"/>
      <c r="G3211"/>
      <c r="H3211"/>
      <c r="I3211" s="97"/>
      <c r="J3211"/>
      <c r="K3211"/>
    </row>
    <row r="3212" spans="1:11" s="21" customFormat="1">
      <c r="A3212"/>
      <c r="B3212"/>
      <c r="F3212"/>
      <c r="G3212"/>
      <c r="H3212"/>
      <c r="I3212" s="97"/>
      <c r="J3212"/>
      <c r="K3212"/>
    </row>
    <row r="3213" spans="1:11" s="21" customFormat="1">
      <c r="A3213"/>
      <c r="B3213"/>
      <c r="F3213"/>
      <c r="G3213"/>
      <c r="H3213"/>
      <c r="I3213" s="97"/>
      <c r="J3213"/>
      <c r="K3213"/>
    </row>
    <row r="3214" spans="1:11" s="21" customFormat="1">
      <c r="A3214"/>
      <c r="B3214"/>
      <c r="F3214"/>
      <c r="G3214"/>
      <c r="H3214"/>
      <c r="I3214" s="97"/>
      <c r="J3214"/>
      <c r="K3214"/>
    </row>
    <row r="3215" spans="1:11" s="21" customFormat="1">
      <c r="A3215"/>
      <c r="B3215"/>
      <c r="F3215"/>
      <c r="G3215"/>
      <c r="H3215"/>
      <c r="I3215" s="97"/>
      <c r="J3215"/>
      <c r="K3215"/>
    </row>
    <row r="3216" spans="1:11" s="21" customFormat="1">
      <c r="A3216"/>
      <c r="B3216"/>
      <c r="F3216"/>
      <c r="G3216"/>
      <c r="H3216"/>
      <c r="I3216" s="97"/>
      <c r="J3216"/>
      <c r="K3216"/>
    </row>
    <row r="3217" spans="1:11" s="21" customFormat="1">
      <c r="A3217"/>
      <c r="B3217"/>
      <c r="F3217"/>
      <c r="G3217"/>
      <c r="H3217"/>
      <c r="I3217" s="97"/>
      <c r="J3217"/>
      <c r="K3217"/>
    </row>
    <row r="3218" spans="1:11" s="21" customFormat="1">
      <c r="A3218"/>
      <c r="B3218"/>
      <c r="F3218"/>
      <c r="G3218"/>
      <c r="H3218"/>
      <c r="I3218" s="97"/>
      <c r="J3218"/>
      <c r="K3218"/>
    </row>
    <row r="3219" spans="1:11" s="21" customFormat="1">
      <c r="A3219"/>
      <c r="B3219"/>
      <c r="F3219"/>
      <c r="G3219"/>
      <c r="H3219"/>
      <c r="I3219" s="97"/>
      <c r="J3219"/>
      <c r="K3219"/>
    </row>
    <row r="3220" spans="1:11" s="21" customFormat="1">
      <c r="A3220"/>
      <c r="B3220"/>
      <c r="F3220"/>
      <c r="G3220"/>
      <c r="H3220"/>
      <c r="I3220" s="97"/>
      <c r="J3220"/>
      <c r="K3220"/>
    </row>
    <row r="3221" spans="1:11" s="21" customFormat="1">
      <c r="A3221"/>
      <c r="B3221"/>
      <c r="F3221"/>
      <c r="G3221"/>
      <c r="H3221"/>
      <c r="I3221" s="97"/>
      <c r="J3221"/>
      <c r="K3221"/>
    </row>
    <row r="3222" spans="1:11" s="21" customFormat="1">
      <c r="A3222"/>
      <c r="B3222"/>
      <c r="F3222"/>
      <c r="G3222"/>
      <c r="H3222"/>
      <c r="I3222" s="97"/>
      <c r="J3222"/>
      <c r="K3222"/>
    </row>
    <row r="3223" spans="1:11" s="21" customFormat="1">
      <c r="A3223"/>
      <c r="B3223"/>
      <c r="F3223"/>
      <c r="G3223"/>
      <c r="H3223"/>
      <c r="I3223" s="97"/>
      <c r="J3223"/>
      <c r="K3223"/>
    </row>
    <row r="3224" spans="1:11" s="21" customFormat="1">
      <c r="A3224"/>
      <c r="B3224"/>
      <c r="F3224"/>
      <c r="G3224"/>
      <c r="H3224"/>
      <c r="I3224" s="97"/>
      <c r="J3224"/>
      <c r="K3224"/>
    </row>
    <row r="3225" spans="1:11" s="21" customFormat="1">
      <c r="A3225"/>
      <c r="B3225"/>
      <c r="F3225"/>
      <c r="G3225"/>
      <c r="H3225"/>
      <c r="I3225" s="97"/>
      <c r="J3225"/>
      <c r="K3225"/>
    </row>
    <row r="3226" spans="1:11" s="21" customFormat="1">
      <c r="A3226"/>
      <c r="B3226"/>
      <c r="F3226"/>
      <c r="G3226"/>
      <c r="H3226"/>
      <c r="I3226" s="97"/>
      <c r="J3226"/>
      <c r="K3226"/>
    </row>
    <row r="3227" spans="1:11" s="21" customFormat="1">
      <c r="A3227"/>
      <c r="B3227"/>
      <c r="F3227"/>
      <c r="G3227"/>
      <c r="H3227"/>
      <c r="I3227" s="97"/>
      <c r="J3227"/>
      <c r="K3227"/>
    </row>
    <row r="3228" spans="1:11" s="21" customFormat="1">
      <c r="A3228"/>
      <c r="B3228"/>
      <c r="F3228"/>
      <c r="G3228"/>
      <c r="H3228"/>
      <c r="I3228" s="97"/>
      <c r="J3228"/>
      <c r="K3228"/>
    </row>
    <row r="3229" spans="1:11" s="21" customFormat="1">
      <c r="A3229"/>
      <c r="B3229"/>
      <c r="F3229"/>
      <c r="G3229"/>
      <c r="H3229"/>
      <c r="I3229" s="97"/>
      <c r="J3229"/>
      <c r="K3229"/>
    </row>
    <row r="3230" spans="1:11" s="21" customFormat="1">
      <c r="A3230"/>
      <c r="B3230"/>
      <c r="F3230"/>
      <c r="G3230"/>
      <c r="H3230"/>
      <c r="I3230" s="97"/>
      <c r="J3230"/>
      <c r="K3230"/>
    </row>
    <row r="3231" spans="1:11" s="21" customFormat="1">
      <c r="A3231"/>
      <c r="B3231"/>
      <c r="F3231"/>
      <c r="G3231"/>
      <c r="H3231"/>
      <c r="I3231" s="97"/>
      <c r="J3231"/>
      <c r="K3231"/>
    </row>
    <row r="3232" spans="1:11" s="21" customFormat="1">
      <c r="A3232"/>
      <c r="B3232"/>
      <c r="F3232"/>
      <c r="G3232"/>
      <c r="H3232"/>
      <c r="I3232" s="97"/>
      <c r="J3232"/>
      <c r="K3232"/>
    </row>
    <row r="3233" spans="1:11" s="21" customFormat="1">
      <c r="A3233"/>
      <c r="B3233"/>
      <c r="F3233"/>
      <c r="G3233"/>
      <c r="H3233"/>
      <c r="I3233" s="97"/>
      <c r="J3233"/>
      <c r="K3233"/>
    </row>
    <row r="3234" spans="1:11" s="21" customFormat="1">
      <c r="A3234"/>
      <c r="B3234"/>
      <c r="F3234"/>
      <c r="G3234"/>
      <c r="H3234"/>
      <c r="I3234" s="97"/>
      <c r="J3234"/>
      <c r="K3234"/>
    </row>
    <row r="3235" spans="1:11" s="21" customFormat="1">
      <c r="A3235"/>
      <c r="B3235"/>
      <c r="F3235"/>
      <c r="G3235"/>
      <c r="H3235"/>
      <c r="I3235" s="97"/>
      <c r="J3235"/>
      <c r="K3235"/>
    </row>
    <row r="3236" spans="1:11" s="21" customFormat="1">
      <c r="A3236"/>
      <c r="B3236"/>
      <c r="F3236"/>
      <c r="G3236"/>
      <c r="H3236"/>
      <c r="I3236" s="97"/>
      <c r="J3236"/>
      <c r="K3236"/>
    </row>
    <row r="3237" spans="1:11" s="21" customFormat="1">
      <c r="A3237"/>
      <c r="B3237"/>
      <c r="F3237"/>
      <c r="G3237"/>
      <c r="H3237"/>
      <c r="I3237" s="97"/>
      <c r="J3237"/>
      <c r="K3237"/>
    </row>
    <row r="3238" spans="1:11" s="21" customFormat="1">
      <c r="A3238"/>
      <c r="B3238"/>
      <c r="F3238"/>
      <c r="G3238"/>
      <c r="H3238"/>
      <c r="I3238" s="97"/>
      <c r="J3238"/>
      <c r="K3238"/>
    </row>
    <row r="3239" spans="1:11" s="21" customFormat="1">
      <c r="A3239"/>
      <c r="B3239"/>
      <c r="F3239"/>
      <c r="G3239"/>
      <c r="H3239"/>
      <c r="I3239" s="97"/>
      <c r="J3239"/>
      <c r="K3239"/>
    </row>
    <row r="3240" spans="1:11" s="21" customFormat="1">
      <c r="A3240"/>
      <c r="B3240"/>
      <c r="F3240"/>
      <c r="G3240"/>
      <c r="H3240"/>
      <c r="I3240" s="97"/>
      <c r="J3240"/>
      <c r="K3240"/>
    </row>
    <row r="3241" spans="1:11" s="21" customFormat="1">
      <c r="A3241"/>
      <c r="B3241"/>
      <c r="F3241"/>
      <c r="G3241"/>
      <c r="H3241"/>
      <c r="I3241" s="97"/>
      <c r="J3241"/>
      <c r="K3241"/>
    </row>
    <row r="3242" spans="1:11" s="21" customFormat="1">
      <c r="A3242"/>
      <c r="B3242"/>
      <c r="F3242"/>
      <c r="G3242"/>
      <c r="H3242"/>
      <c r="I3242" s="97"/>
      <c r="J3242"/>
      <c r="K3242"/>
    </row>
    <row r="3243" spans="1:11" s="21" customFormat="1">
      <c r="A3243"/>
      <c r="B3243"/>
      <c r="F3243"/>
      <c r="G3243"/>
      <c r="H3243"/>
      <c r="I3243" s="97"/>
      <c r="J3243"/>
      <c r="K3243"/>
    </row>
    <row r="3244" spans="1:11" s="21" customFormat="1">
      <c r="A3244"/>
      <c r="B3244"/>
      <c r="F3244"/>
      <c r="G3244"/>
      <c r="H3244"/>
      <c r="I3244" s="97"/>
      <c r="J3244"/>
      <c r="K3244"/>
    </row>
    <row r="3245" spans="1:11" s="21" customFormat="1">
      <c r="A3245"/>
      <c r="B3245"/>
      <c r="F3245"/>
      <c r="G3245"/>
      <c r="H3245"/>
      <c r="I3245" s="97"/>
      <c r="J3245"/>
      <c r="K3245"/>
    </row>
    <row r="3246" spans="1:11" s="21" customFormat="1">
      <c r="A3246"/>
      <c r="B3246"/>
      <c r="F3246"/>
      <c r="G3246"/>
      <c r="H3246"/>
      <c r="I3246" s="97"/>
      <c r="J3246"/>
      <c r="K3246"/>
    </row>
    <row r="3247" spans="1:11" s="21" customFormat="1">
      <c r="A3247"/>
      <c r="B3247"/>
      <c r="F3247"/>
      <c r="G3247"/>
      <c r="H3247"/>
      <c r="I3247" s="97"/>
      <c r="J3247"/>
      <c r="K3247"/>
    </row>
    <row r="3248" spans="1:11" s="21" customFormat="1">
      <c r="A3248"/>
      <c r="B3248"/>
      <c r="F3248"/>
      <c r="G3248"/>
      <c r="H3248"/>
      <c r="I3248" s="97"/>
      <c r="J3248"/>
      <c r="K3248"/>
    </row>
    <row r="3249" spans="1:11" s="21" customFormat="1">
      <c r="A3249"/>
      <c r="B3249"/>
      <c r="F3249"/>
      <c r="G3249"/>
      <c r="H3249"/>
      <c r="I3249" s="97"/>
      <c r="J3249"/>
      <c r="K3249"/>
    </row>
    <row r="3250" spans="1:11" s="21" customFormat="1">
      <c r="A3250"/>
      <c r="B3250"/>
      <c r="F3250"/>
      <c r="G3250"/>
      <c r="H3250"/>
      <c r="I3250" s="97"/>
      <c r="J3250"/>
      <c r="K3250"/>
    </row>
    <row r="3251" spans="1:11" s="21" customFormat="1">
      <c r="A3251"/>
      <c r="B3251"/>
      <c r="F3251"/>
      <c r="G3251"/>
      <c r="H3251"/>
      <c r="I3251" s="97"/>
      <c r="J3251"/>
      <c r="K3251"/>
    </row>
    <row r="3252" spans="1:11" s="21" customFormat="1">
      <c r="A3252"/>
      <c r="B3252"/>
      <c r="F3252"/>
      <c r="G3252"/>
      <c r="H3252"/>
      <c r="I3252" s="97"/>
      <c r="J3252"/>
      <c r="K3252"/>
    </row>
    <row r="3253" spans="1:11" s="21" customFormat="1">
      <c r="A3253"/>
      <c r="B3253"/>
      <c r="F3253"/>
      <c r="G3253"/>
      <c r="H3253"/>
      <c r="I3253" s="97"/>
      <c r="J3253"/>
      <c r="K3253"/>
    </row>
    <row r="3254" spans="1:11" s="21" customFormat="1">
      <c r="A3254"/>
      <c r="B3254"/>
      <c r="F3254"/>
      <c r="G3254"/>
      <c r="H3254"/>
      <c r="I3254" s="97"/>
      <c r="J3254"/>
      <c r="K3254"/>
    </row>
    <row r="3255" spans="1:11" s="21" customFormat="1">
      <c r="A3255"/>
      <c r="B3255"/>
      <c r="F3255"/>
      <c r="G3255"/>
      <c r="H3255"/>
      <c r="I3255" s="97"/>
      <c r="J3255"/>
      <c r="K3255"/>
    </row>
    <row r="3256" spans="1:11" s="21" customFormat="1">
      <c r="A3256"/>
      <c r="B3256"/>
      <c r="F3256"/>
      <c r="G3256"/>
      <c r="H3256"/>
      <c r="I3256" s="97"/>
      <c r="J3256"/>
      <c r="K3256"/>
    </row>
    <row r="3257" spans="1:11" s="21" customFormat="1">
      <c r="A3257"/>
      <c r="B3257"/>
      <c r="F3257"/>
      <c r="G3257"/>
      <c r="H3257"/>
      <c r="I3257" s="97"/>
      <c r="J3257"/>
      <c r="K3257"/>
    </row>
    <row r="3258" spans="1:11" s="21" customFormat="1">
      <c r="A3258"/>
      <c r="B3258"/>
      <c r="F3258"/>
      <c r="G3258"/>
      <c r="H3258"/>
      <c r="I3258" s="97"/>
      <c r="J3258"/>
      <c r="K3258"/>
    </row>
    <row r="3259" spans="1:11" s="21" customFormat="1">
      <c r="A3259"/>
      <c r="B3259"/>
      <c r="F3259"/>
      <c r="G3259"/>
      <c r="H3259"/>
      <c r="I3259" s="97"/>
      <c r="J3259"/>
      <c r="K3259"/>
    </row>
    <row r="3260" spans="1:11" s="21" customFormat="1">
      <c r="A3260"/>
      <c r="B3260"/>
      <c r="F3260"/>
      <c r="G3260"/>
      <c r="H3260"/>
      <c r="I3260" s="97"/>
      <c r="J3260"/>
      <c r="K3260"/>
    </row>
    <row r="3261" spans="1:11" s="21" customFormat="1">
      <c r="A3261"/>
      <c r="B3261"/>
      <c r="F3261"/>
      <c r="G3261"/>
      <c r="H3261"/>
      <c r="I3261" s="97"/>
      <c r="J3261"/>
      <c r="K3261"/>
    </row>
    <row r="3262" spans="1:11" s="21" customFormat="1">
      <c r="A3262"/>
      <c r="B3262"/>
      <c r="F3262"/>
      <c r="G3262"/>
      <c r="H3262"/>
      <c r="I3262" s="97"/>
      <c r="J3262"/>
      <c r="K3262"/>
    </row>
    <row r="3263" spans="1:11" s="21" customFormat="1">
      <c r="A3263"/>
      <c r="B3263"/>
      <c r="F3263"/>
      <c r="G3263"/>
      <c r="H3263"/>
      <c r="I3263" s="97"/>
      <c r="J3263"/>
      <c r="K3263"/>
    </row>
    <row r="3264" spans="1:11" s="21" customFormat="1">
      <c r="A3264"/>
      <c r="B3264"/>
      <c r="F3264"/>
      <c r="G3264"/>
      <c r="H3264"/>
      <c r="I3264" s="97"/>
      <c r="J3264"/>
      <c r="K3264"/>
    </row>
    <row r="3265" spans="1:11" s="21" customFormat="1">
      <c r="A3265"/>
      <c r="B3265"/>
      <c r="F3265"/>
      <c r="G3265"/>
      <c r="H3265"/>
      <c r="I3265" s="97"/>
      <c r="J3265"/>
      <c r="K3265"/>
    </row>
  </sheetData>
  <mergeCells count="1">
    <mergeCell ref="A2:C2"/>
  </mergeCells>
  <phoneticPr fontId="30" type="noConversion"/>
  <pageMargins left="0.7" right="0.7" top="0.75" bottom="0.75" header="0.3" footer="0.3"/>
  <pageSetup scale="54" fitToHeight="0" orientation="landscape" r:id="rId1"/>
  <customProperties>
    <customPr name="AblebitsBackupSheet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Robbin Seidel;mpalmer@benchmarkscientific.com</dc:creator>
  <cp:lastModifiedBy>Fred Ree</cp:lastModifiedBy>
  <cp:lastPrinted>2021-10-01T14:02:00Z</cp:lastPrinted>
  <dcterms:created xsi:type="dcterms:W3CDTF">2017-01-24T14:22:59Z</dcterms:created>
  <dcterms:modified xsi:type="dcterms:W3CDTF">2024-10-16T12:56:29Z</dcterms:modified>
</cp:coreProperties>
</file>